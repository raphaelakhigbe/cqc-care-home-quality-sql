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charts/chart5.xml" ContentType="application/vnd.openxmlformats-officedocument.drawingml.chart+xml"/>
  <Override PartName="/xl/charts/style5.xml" ContentType="application/vnd.ms-office.chartstyle+xml"/>
  <Override PartName="/xl/charts/colors5.xml" ContentType="application/vnd.ms-office.chartcolorstyle+xml"/>
  <Override PartName="/xl/charts/chart6.xml" ContentType="application/vnd.openxmlformats-officedocument.drawingml.chart+xml"/>
  <Override PartName="/xl/charts/style6.xml" ContentType="application/vnd.ms-office.chartstyle+xml"/>
  <Override PartName="/xl/charts/colors6.xml" ContentType="application/vnd.ms-office.chartcolorstyle+xml"/>
  <Override PartName="/xl/charts/chart7.xml" ContentType="application/vnd.openxmlformats-officedocument.drawingml.chart+xml"/>
  <Override PartName="/xl/charts/style7.xml" ContentType="application/vnd.ms-office.chartstyle+xml"/>
  <Override PartName="/xl/charts/colors7.xml" ContentType="application/vnd.ms-office.chartcolorstyle+xml"/>
  <Override PartName="/xl/tables/table1.xml" ContentType="application/vnd.openxmlformats-officedocument.spreadsheetml.table+xml"/>
  <Override PartName="/xl/queryTables/queryTable1.xml" ContentType="application/vnd.openxmlformats-officedocument.spreadsheetml.queryTable+xml"/>
  <Override PartName="/xl/tables/table2.xml" ContentType="application/vnd.openxmlformats-officedocument.spreadsheetml.table+xml"/>
  <Override PartName="/xl/queryTables/queryTable2.xml" ContentType="application/vnd.openxmlformats-officedocument.spreadsheetml.queryTable+xml"/>
  <Override PartName="/xl/tables/table3.xml" ContentType="application/vnd.openxmlformats-officedocument.spreadsheetml.table+xml"/>
  <Override PartName="/xl/queryTables/queryTable3.xml" ContentType="application/vnd.openxmlformats-officedocument.spreadsheetml.queryTable+xml"/>
  <Override PartName="/xl/tables/table4.xml" ContentType="application/vnd.openxmlformats-officedocument.spreadsheetml.table+xml"/>
  <Override PartName="/xl/queryTables/queryTable4.xml" ContentType="application/vnd.openxmlformats-officedocument.spreadsheetml.queryTable+xml"/>
  <Override PartName="/xl/tables/table5.xml" ContentType="application/vnd.openxmlformats-officedocument.spreadsheetml.table+xml"/>
  <Override PartName="/xl/queryTables/queryTable5.xml" ContentType="application/vnd.openxmlformats-officedocument.spreadsheetml.queryTable+xml"/>
  <Override PartName="/xl/tables/table6.xml" ContentType="application/vnd.openxmlformats-officedocument.spreadsheetml.table+xml"/>
  <Override PartName="/xl/queryTables/queryTable6.xml" ContentType="application/vnd.openxmlformats-officedocument.spreadsheetml.queryTable+xml"/>
  <Override PartName="/xl/tables/table7.xml" ContentType="application/vnd.openxmlformats-officedocument.spreadsheetml.table+xml"/>
  <Override PartName="/xl/queryTables/queryTable7.xml" ContentType="application/vnd.openxmlformats-officedocument.spreadsheetml.queryTable+xml"/>
  <Override PartName="/xl/tables/table8.xml" ContentType="application/vnd.openxmlformats-officedocument.spreadsheetml.table+xml"/>
  <Override PartName="/xl/queryTables/queryTable8.xml" ContentType="application/vnd.openxmlformats-officedocument.spreadsheetml.queryTable+xml"/>
  <Override PartName="/xl/tables/table9.xml" ContentType="application/vnd.openxmlformats-officedocument.spreadsheetml.table+xml"/>
  <Override PartName="/xl/queryTables/queryTable9.xml" ContentType="application/vnd.openxmlformats-officedocument.spreadsheetml.queryTable+xml"/>
  <Override PartName="/xl/tables/table10.xml" ContentType="application/vnd.openxmlformats-officedocument.spreadsheetml.table+xml"/>
  <Override PartName="/xl/queryTables/queryTable10.xml" ContentType="application/vnd.openxmlformats-officedocument.spreadsheetml.queryTable+xml"/>
  <Override PartName="/xl/tables/table11.xml" ContentType="application/vnd.openxmlformats-officedocument.spreadsheetml.table+xml"/>
  <Override PartName="/xl/queryTables/queryTable11.xml" ContentType="application/vnd.openxmlformats-officedocument.spreadsheetml.queryTable+xml"/>
  <Override PartName="/xl/tables/table12.xml" ContentType="application/vnd.openxmlformats-officedocument.spreadsheetml.table+xml"/>
  <Override PartName="/xl/queryTables/queryTable12.xml" ContentType="application/vnd.openxmlformats-officedocument.spreadsheetml.queryTable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ecoin\Downloads\CQC_SQL_Project\"/>
    </mc:Choice>
  </mc:AlternateContent>
  <xr:revisionPtr revIDLastSave="0" documentId="13_ncr:1_{344A9A50-43A7-45A7-8FC4-F5A730DB5BC1}" xr6:coauthVersionLast="47" xr6:coauthVersionMax="47" xr10:uidLastSave="{00000000-0000-0000-0000-000000000000}"/>
  <bookViews>
    <workbookView xWindow="-120" yWindow="-120" windowWidth="29040" windowHeight="15720" xr2:uid="{6063B72E-662F-42A3-B801-4B9188A9453D}"/>
  </bookViews>
  <sheets>
    <sheet name="Dashboard" sheetId="1" r:id="rId1"/>
    <sheet name="data_q9" sheetId="2" r:id="rId2"/>
    <sheet name="data_q8" sheetId="3" r:id="rId3"/>
    <sheet name="data_q7" sheetId="4" r:id="rId4"/>
    <sheet name="data_q6" sheetId="5" r:id="rId5"/>
    <sheet name="data_q5" sheetId="6" r:id="rId6"/>
    <sheet name="data_q4" sheetId="7" r:id="rId7"/>
    <sheet name="q3_nursing_vs_residential" sheetId="8" r:id="rId8"/>
    <sheet name="q2c_region_rank" sheetId="9" r:id="rId9"/>
    <sheet name="q1b_rating_distribution" sheetId="10" r:id="rId10"/>
    <sheet name="q1_good_or_outstanding" sheetId="11" r:id="rId11"/>
    <sheet name="q8_rating_age_step_1" sheetId="13" r:id="rId12"/>
    <sheet name="chart_feed " sheetId="14" r:id="rId13"/>
    <sheet name="q5_long" sheetId="15" r:id="rId14"/>
  </sheets>
  <definedNames>
    <definedName name="ExternalData_1" localSheetId="6" hidden="1">data_q4!$A$1:$C$6</definedName>
    <definedName name="ExternalData_1" localSheetId="5" hidden="1">data_q5!$A$1:$K$2</definedName>
    <definedName name="ExternalData_1" localSheetId="4" hidden="1">data_q6!$A$1:$C$5</definedName>
    <definedName name="ExternalData_1" localSheetId="3" hidden="1">data_q7!$A$1:$D$5</definedName>
    <definedName name="ExternalData_1" localSheetId="2" hidden="1">data_q8!$A$1:$C$3</definedName>
    <definedName name="ExternalData_1" localSheetId="1" hidden="1">data_q9!$A$1:$F$141</definedName>
    <definedName name="ExternalData_1" localSheetId="10" hidden="1">q1_good_or_outstanding!$A$1:$C$3</definedName>
    <definedName name="ExternalData_1" localSheetId="9" hidden="1">q1b_rating_distribution!$A$1:$E$5</definedName>
    <definedName name="ExternalData_1" localSheetId="8" hidden="1">q2c_region_rank!$A$1:$D$10</definedName>
    <definedName name="ExternalData_1" localSheetId="7" hidden="1">q3_nursing_vs_residential!$A$1:$D$5</definedName>
    <definedName name="ExternalData_1" localSheetId="13" hidden="1">q5_long!$A$1:$B$6</definedName>
    <definedName name="ExternalData_1" localSheetId="11" hidden="1">q8_rating_age_step_1!$A$1:$C$2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calcChain.xml><?xml version="1.0" encoding="utf-8"?>
<calcChain xmlns="http://schemas.openxmlformats.org/spreadsheetml/2006/main">
  <c r="B4" i="1" l="1"/>
  <c r="G62" i="1" a="1"/>
  <c r="J3" i="14"/>
  <c r="K3" i="14"/>
  <c r="K2" i="14"/>
  <c r="J2" i="14"/>
  <c r="G3" i="14"/>
  <c r="G2" i="14"/>
  <c r="F3" i="14"/>
  <c r="F2" i="14"/>
  <c r="C5" i="14"/>
  <c r="C4" i="14"/>
  <c r="C3" i="14"/>
  <c r="C2" i="14"/>
  <c r="B5" i="14"/>
  <c r="B4" i="14"/>
  <c r="B3" i="14"/>
  <c r="B2" i="14"/>
  <c r="J4" i="1" a="1"/>
  <c r="H4" i="1"/>
  <c r="F4" i="1"/>
  <c r="B3" i="1"/>
  <c r="D4" i="1"/>
  <c r="H3" i="1"/>
  <c r="D3" i="1"/>
  <c r="J3" i="1" a="1"/>
  <c r="F3" i="1"/>
</calcChain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2B34680F-A1BB-4125-9EBC-F6B4153B4F08}" keepAlive="1" name="Query - q1_good_or_outstanding" description="Connection to the 'q1_good_or_outstanding' query in the workbook." type="5" refreshedVersion="8" background="1" saveData="1">
    <dbPr connection="Provider=Microsoft.Mashup.OleDb.1;Data Source=$Workbook$;Location=q1_good_or_outstanding;Extended Properties=&quot;&quot;" command="SELECT * FROM [q1_good_or_outstanding]"/>
  </connection>
  <connection id="2" xr16:uid="{C9FA5FC2-26F3-49D8-BD40-5A257025F7B5}" keepAlive="1" name="Query - q1b_rating_distribution" description="Connection to the 'q1b_rating_distribution' query in the workbook." type="5" refreshedVersion="8" background="1" saveData="1">
    <dbPr connection="Provider=Microsoft.Mashup.OleDb.1;Data Source=$Workbook$;Location=q1b_rating_distribution;Extended Properties=&quot;&quot;" command="SELECT * FROM [q1b_rating_distribution]"/>
  </connection>
  <connection id="3" xr16:uid="{12205CE2-4A43-4237-88F5-351FEBC92574}" keepAlive="1" name="Query - q2c_region_rank" description="Connection to the 'q2c_region_rank' query in the workbook." type="5" refreshedVersion="8" background="1" saveData="1">
    <dbPr connection="Provider=Microsoft.Mashup.OleDb.1;Data Source=$Workbook$;Location=q2c_region_rank;Extended Properties=&quot;&quot;" command="SELECT * FROM [q2c_region_rank]"/>
  </connection>
  <connection id="4" xr16:uid="{94BE64A3-A5B6-4ADB-81D7-62B240223527}" keepAlive="1" name="Query - q3_nursing_vs_residential" description="Connection to the 'q3_nursing_vs_residential' query in the workbook." type="5" refreshedVersion="8" background="1" saveData="1">
    <dbPr connection="Provider=Microsoft.Mashup.OleDb.1;Data Source=$Workbook$;Location=q3_nursing_vs_residential;Extended Properties=&quot;&quot;" command="SELECT * FROM [q3_nursing_vs_residential]"/>
  </connection>
  <connection id="5" xr16:uid="{3A89463C-3942-4080-A803-003EFBE93C54}" keepAlive="1" name="Query - q4_size_bands" description="Connection to the 'q4_size_bands' query in the workbook." type="5" refreshedVersion="8" background="1" saveData="1">
    <dbPr connection="Provider=Microsoft.Mashup.OleDb.1;Data Source=$Workbook$;Location=q4_size_bands;Extended Properties=&quot;&quot;" command="SELECT * FROM [q4_size_bands]"/>
  </connection>
  <connection id="6" xr16:uid="{D09D2FD1-F4F8-4381-B8B7-38B5500BC362}" keepAlive="1" name="Query - q5_key_question_fails" description="Connection to the 'q5_key_question_fails' query in the workbook." type="5" refreshedVersion="8" background="1" saveData="1">
    <dbPr connection="Provider=Microsoft.Mashup.OleDb.1;Data Source=$Workbook$;Location=q5_key_question_fails;Extended Properties=&quot;&quot;" command="SELECT * FROM [q5_key_question_fails]"/>
  </connection>
  <connection id="7" xr16:uid="{9490AA13-EE28-48E7-AC64-612281675F14}" keepAlive="1" name="Query - q5_long" description="Connection to the 'q5_long' query in the workbook." type="5" refreshedVersion="8" background="1" saveData="1">
    <dbPr connection="Provider=Microsoft.Mashup.OleDb.1;Data Source=$Workbook$;Location=q5_long;Extended Properties=&quot;&quot;" command="SELECT * FROM [q5_long]"/>
  </connection>
  <connection id="8" xr16:uid="{D10B696D-F9B9-49E3-854B-53D67ABABED1}" keepAlive="1" name="Query - q6_provider_size" description="Connection to the 'q6_provider_size' query in the workbook." type="5" refreshedVersion="8" background="1" saveData="1">
    <dbPr connection="Provider=Microsoft.Mashup.OleDb.1;Data Source=$Workbook$;Location=q6_provider_size;Extended Properties=&quot;&quot;" command="SELECT * FROM [q6_provider_size]"/>
  </connection>
  <connection id="9" xr16:uid="{6EFE4408-A91E-4C94-A3AE-B000D102F8DB}" keepAlive="1" name="Query - q7_dementia" description="Connection to the 'q7_dementia' query in the workbook." type="5" refreshedVersion="8" background="1" saveData="1">
    <dbPr connection="Provider=Microsoft.Mashup.OleDb.1;Data Source=$Workbook$;Location=q7_dementia;Extended Properties=&quot;&quot;" command="SELECT * FROM [q7_dementia]"/>
  </connection>
  <connection id="10" xr16:uid="{6DFAB335-68BE-4FA8-8341-63E2B91ACBA9}" keepAlive="1" name="Query - q8_rating_age_step_1" description="Connection to the 'q8_rating_age_step_1' query in the workbook." type="5" refreshedVersion="8" background="1" saveData="1">
    <dbPr connection="Provider=Microsoft.Mashup.OleDb.1;Data Source=$Workbook$;Location=q8_rating_age_step_1;Extended Properties=&quot;&quot;" command="SELECT * FROM [q8_rating_age_step_1]"/>
  </connection>
  <connection id="11" xr16:uid="{709451A9-26FB-42C8-A834-8A6FCC459508}" keepAlive="1" name="Query - q8_rating_age_step_2" description="Connection to the 'q8_rating_age_step_2' query in the workbook." type="5" refreshedVersion="8" background="1" saveData="1">
    <dbPr connection="Provider=Microsoft.Mashup.OleDb.1;Data Source=$Workbook$;Location=q8_rating_age_step_2;Extended Properties=&quot;&quot;" command="SELECT * FROM [q8_rating_age_step_2]"/>
  </connection>
  <connection id="12" xr16:uid="{4ED7524C-F44B-4596-B262-30044529B9F7}" keepAlive="1" name="Query - q9_la_vs_region" description="Connection to the 'q9_la_vs_region' query in the workbook." type="5" refreshedVersion="8" background="1" saveData="1">
    <dbPr connection="Provider=Microsoft.Mashup.OleDb.1;Data Source=$Workbook$;Location=q9_la_vs_region;Extended Properties=&quot;&quot;" command="SELECT * FROM [q9_la_vs_region]"/>
  </connection>
</connections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<sst xmlns="http://schemas.openxmlformats.org/spreadsheetml/2006/main" count="412" uniqueCount="227">
  <si>
    <t>region</t>
  </si>
  <si>
    <t>local_authority</t>
  </si>
  <si>
    <t>rated_homes</t>
  </si>
  <si>
    <t>la_pct</t>
  </si>
  <si>
    <t>region_pct</t>
  </si>
  <si>
    <t>gap</t>
  </si>
  <si>
    <t>East of England</t>
  </si>
  <si>
    <t>Cambridgeshire</t>
  </si>
  <si>
    <t>North West</t>
  </si>
  <si>
    <t>Wigan</t>
  </si>
  <si>
    <t>Southend-on-Sea</t>
  </si>
  <si>
    <t>Thurrock</t>
  </si>
  <si>
    <t>West Midlands</t>
  </si>
  <si>
    <t>Solihull</t>
  </si>
  <si>
    <t>South East</t>
  </si>
  <si>
    <t>Wokingham</t>
  </si>
  <si>
    <t>London</t>
  </si>
  <si>
    <t>Merton</t>
  </si>
  <si>
    <t>Brighton and Hove</t>
  </si>
  <si>
    <t>St. Helens</t>
  </si>
  <si>
    <t>Westmorland and Furness</t>
  </si>
  <si>
    <t>South West</t>
  </si>
  <si>
    <t>Bristol, City of</t>
  </si>
  <si>
    <t>Trafford</t>
  </si>
  <si>
    <t>Bury</t>
  </si>
  <si>
    <t>Yorkshire and The Humber</t>
  </si>
  <si>
    <t>Rotherham</t>
  </si>
  <si>
    <t>North Somerset</t>
  </si>
  <si>
    <t>West Berkshire</t>
  </si>
  <si>
    <t>Peterborough</t>
  </si>
  <si>
    <t>Bournemouth, Christchurch and Poole</t>
  </si>
  <si>
    <t>South Gloucestershire</t>
  </si>
  <si>
    <t>Worcestershire</t>
  </si>
  <si>
    <t>Lewisham</t>
  </si>
  <si>
    <t>Herefordshire, County of</t>
  </si>
  <si>
    <t>Milton Keynes</t>
  </si>
  <si>
    <t>Sutton</t>
  </si>
  <si>
    <t>Waltham Forest</t>
  </si>
  <si>
    <t>Barking and Dagenham</t>
  </si>
  <si>
    <t>Oxfordshire</t>
  </si>
  <si>
    <t>North Yorkshire</t>
  </si>
  <si>
    <t>Richmond upon Thames</t>
  </si>
  <si>
    <t>East Midlands</t>
  </si>
  <si>
    <t>Nottinghamshire</t>
  </si>
  <si>
    <t>Dorset</t>
  </si>
  <si>
    <t>North East Lincolnshire</t>
  </si>
  <si>
    <t>Manchester</t>
  </si>
  <si>
    <t>Sheffield</t>
  </si>
  <si>
    <t>Blackburn with Darwen</t>
  </si>
  <si>
    <t>York</t>
  </si>
  <si>
    <t>Harrow</t>
  </si>
  <si>
    <t>North East</t>
  </si>
  <si>
    <t>Gateshead</t>
  </si>
  <si>
    <t>Bolton</t>
  </si>
  <si>
    <t>Essex</t>
  </si>
  <si>
    <t>Lancashire</t>
  </si>
  <si>
    <t>Shropshire</t>
  </si>
  <si>
    <t>Middlesbrough</t>
  </si>
  <si>
    <t>Hounslow</t>
  </si>
  <si>
    <t>Havering</t>
  </si>
  <si>
    <t>East Sussex</t>
  </si>
  <si>
    <t>Stoke-on-Trent</t>
  </si>
  <si>
    <t>Hampshire</t>
  </si>
  <si>
    <t>Warwickshire</t>
  </si>
  <si>
    <t>Wandsworth</t>
  </si>
  <si>
    <t>West Sussex</t>
  </si>
  <si>
    <t>Leicestershire</t>
  </si>
  <si>
    <t>South Tyneside</t>
  </si>
  <si>
    <t>Bromley</t>
  </si>
  <si>
    <t>Barnsley</t>
  </si>
  <si>
    <t>Derbyshire</t>
  </si>
  <si>
    <t>Telford and Wrekin</t>
  </si>
  <si>
    <t>Sunderland</t>
  </si>
  <si>
    <t>Hillingdon</t>
  </si>
  <si>
    <t>Suffolk</t>
  </si>
  <si>
    <t>County Durham</t>
  </si>
  <si>
    <t>Oldham</t>
  </si>
  <si>
    <t>Newham</t>
  </si>
  <si>
    <t>Southampton</t>
  </si>
  <si>
    <t>Warrington</t>
  </si>
  <si>
    <t>Devon</t>
  </si>
  <si>
    <t>North Northamptonshire</t>
  </si>
  <si>
    <t>Hartlepool</t>
  </si>
  <si>
    <t>Staffordshire</t>
  </si>
  <si>
    <t>Croydon</t>
  </si>
  <si>
    <t>Leicester</t>
  </si>
  <si>
    <t>Somerset</t>
  </si>
  <si>
    <t>North Lincolnshire</t>
  </si>
  <si>
    <t>Cumberland</t>
  </si>
  <si>
    <t>Wiltshire</t>
  </si>
  <si>
    <t>Swindon</t>
  </si>
  <si>
    <t>Surrey</t>
  </si>
  <si>
    <t>Sefton</t>
  </si>
  <si>
    <t>Doncaster</t>
  </si>
  <si>
    <t>Blackpool</t>
  </si>
  <si>
    <t>Newcastle upon Tyne</t>
  </si>
  <si>
    <t>Kingston upon Thames</t>
  </si>
  <si>
    <t>Birmingham</t>
  </si>
  <si>
    <t>Stockton-on-Tees</t>
  </si>
  <si>
    <t>Bedford</t>
  </si>
  <si>
    <t>Northumberland</t>
  </si>
  <si>
    <t>Knowsley</t>
  </si>
  <si>
    <t>North Tyneside</t>
  </si>
  <si>
    <t>Haringey</t>
  </si>
  <si>
    <t>Kirklees</t>
  </si>
  <si>
    <t>Leeds</t>
  </si>
  <si>
    <t>Salford</t>
  </si>
  <si>
    <t>Barnet</t>
  </si>
  <si>
    <t>Calderdale</t>
  </si>
  <si>
    <t>Hertfordshire</t>
  </si>
  <si>
    <t>East Riding of Yorkshire</t>
  </si>
  <si>
    <t>Lincolnshire</t>
  </si>
  <si>
    <t>Brent</t>
  </si>
  <si>
    <t>Central Bedfordshire</t>
  </si>
  <si>
    <t>Kent</t>
  </si>
  <si>
    <t>Cheshire East</t>
  </si>
  <si>
    <t>Gloucestershire</t>
  </si>
  <si>
    <t>Nottingham</t>
  </si>
  <si>
    <t>Redbridge</t>
  </si>
  <si>
    <t>Ealing</t>
  </si>
  <si>
    <t>Sandwell</t>
  </si>
  <si>
    <t>Derby</t>
  </si>
  <si>
    <t>Luton</t>
  </si>
  <si>
    <t>Halton</t>
  </si>
  <si>
    <t>Bath and North East Somerset</t>
  </si>
  <si>
    <t>Wakefield</t>
  </si>
  <si>
    <t>Cheshire West and Chester</t>
  </si>
  <si>
    <t>Darlington</t>
  </si>
  <si>
    <t>Reading</t>
  </si>
  <si>
    <t>Bradford</t>
  </si>
  <si>
    <t>Redcar and Cleveland</t>
  </si>
  <si>
    <t>Greenwich</t>
  </si>
  <si>
    <t>Enfield</t>
  </si>
  <si>
    <t>Cornwall</t>
  </si>
  <si>
    <t>Kingston upon Hull, City of</t>
  </si>
  <si>
    <t>Torbay</t>
  </si>
  <si>
    <t>Dudley</t>
  </si>
  <si>
    <t>Stockport</t>
  </si>
  <si>
    <t>Wirral</t>
  </si>
  <si>
    <t>Tameside</t>
  </si>
  <si>
    <t>Plymouth</t>
  </si>
  <si>
    <t>Portsmouth</t>
  </si>
  <si>
    <t>Buckinghamshire</t>
  </si>
  <si>
    <t>West Northamptonshire</t>
  </si>
  <si>
    <t>Windsor and Maidenhead</t>
  </si>
  <si>
    <t>Isle of Wight</t>
  </si>
  <si>
    <t>Walsall</t>
  </si>
  <si>
    <t>Wolverhampton</t>
  </si>
  <si>
    <t>Medway</t>
  </si>
  <si>
    <t>Liverpool</t>
  </si>
  <si>
    <t>Coventry</t>
  </si>
  <si>
    <t>Norfolk</t>
  </si>
  <si>
    <t>Lambeth</t>
  </si>
  <si>
    <t>Bexley</t>
  </si>
  <si>
    <t>Rochdale</t>
  </si>
  <si>
    <t>rating_age_band</t>
  </si>
  <si>
    <t>pct_good_or_outstanding</t>
  </si>
  <si>
    <t>1: within 2 years</t>
  </si>
  <si>
    <t>2: older than 2 years</t>
  </si>
  <si>
    <t>area</t>
  </si>
  <si>
    <t>dementia_group</t>
  </si>
  <si>
    <t>England</t>
  </si>
  <si>
    <t>not dementia</t>
  </si>
  <si>
    <t>dementia</t>
  </si>
  <si>
    <t>provider_band</t>
  </si>
  <si>
    <t>1: single home</t>
  </si>
  <si>
    <t>2: 2-5 homes</t>
  </si>
  <si>
    <t>3: 6-20 homes</t>
  </si>
  <si>
    <t>4: 21+ homes</t>
  </si>
  <si>
    <t>below_good_homes</t>
  </si>
  <si>
    <t>safe_fail</t>
  </si>
  <si>
    <t>effective_fail</t>
  </si>
  <si>
    <t>caring_fail</t>
  </si>
  <si>
    <t>responsive_fail</t>
  </si>
  <si>
    <t>well_led_fail</t>
  </si>
  <si>
    <t>safe_fail_pct</t>
  </si>
  <si>
    <t>effective_fail_pct</t>
  </si>
  <si>
    <t>caring_fail_pct</t>
  </si>
  <si>
    <t>responsive_fail_pct</t>
  </si>
  <si>
    <t>well_led_fail_pct</t>
  </si>
  <si>
    <t>size_band</t>
  </si>
  <si>
    <t>1-10</t>
  </si>
  <si>
    <t>11-29</t>
  </si>
  <si>
    <t>30-59</t>
  </si>
  <si>
    <t>60 or more</t>
  </si>
  <si>
    <t>UNKNOWN</t>
  </si>
  <si>
    <t>home_type</t>
  </si>
  <si>
    <t>Residential</t>
  </si>
  <si>
    <t>Nursing</t>
  </si>
  <si>
    <t>rank_position</t>
  </si>
  <si>
    <t>overall</t>
  </si>
  <si>
    <t>england_homes</t>
  </si>
  <si>
    <t>england_pct</t>
  </si>
  <si>
    <t>wsx_homes</t>
  </si>
  <si>
    <t>wsx_pct</t>
  </si>
  <si>
    <t>Good</t>
  </si>
  <si>
    <t>Requires improvement</t>
  </si>
  <si>
    <t>Outstanding</t>
  </si>
  <si>
    <t>Inadequate</t>
  </si>
  <si>
    <t>older_than_2y</t>
  </si>
  <si>
    <t>pct_older_than_2y</t>
  </si>
  <si>
    <t>Gap vs South East</t>
  </si>
  <si>
    <t>Ratings over 2 years old</t>
  </si>
  <si>
    <t>CQC Care Home Quality: West Sussex vs England (ratings as at 1 Oct 2026)</t>
  </si>
  <si>
    <t xml:space="preserve">Rating </t>
  </si>
  <si>
    <t xml:space="preserve">England </t>
  </si>
  <si>
    <t>Home type</t>
  </si>
  <si>
    <t>Home Group</t>
  </si>
  <si>
    <t>Dementia</t>
  </si>
  <si>
    <t>Not Dementia</t>
  </si>
  <si>
    <t>Key question</t>
  </si>
  <si>
    <t>Pct failing</t>
  </si>
  <si>
    <t>Well-led</t>
  </si>
  <si>
    <t>Safe</t>
  </si>
  <si>
    <t>Effective</t>
  </si>
  <si>
    <t>Responsive</t>
  </si>
  <si>
    <t>Caring</t>
  </si>
  <si>
    <t>Choose region</t>
  </si>
  <si>
    <t>Region</t>
  </si>
  <si>
    <t>Local Authority</t>
  </si>
  <si>
    <t>Rated homes</t>
  </si>
  <si>
    <t>LA %</t>
  </si>
  <si>
    <t>Region %</t>
  </si>
  <si>
    <t>Gap</t>
  </si>
  <si>
    <t>Each local authority vs its own regional average (choose a region in the dropdown)</t>
  </si>
  <si>
    <t>Key findings:</t>
  </si>
  <si>
    <t>Source: CQC care directory with ratings, 1 Oct 2026 release (public data). 13,448 rated care homes in England. Analysis: Raphael Akhigbe (PostgreSQL + Excel).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</si>
</sst>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6">
    <numFmt numFmtId="164" formatCode="0.0&quot;%&quot;"/>
    <numFmt numFmtId="165" formatCode="\+0.0\ &quot;pts&quot;"/>
    <numFmt numFmtId="166" formatCode="#,##0&quot; rated homes&quot;"/>
    <numFmt numFmtId="167" formatCode="#,##0&quot; of 140&quot;"/>
    <numFmt numFmtId="168" formatCode="#,##0&quot; of 13,448 ratings&quot;"/>
    <numFmt numFmtId="169" formatCode="\+0.0;\-0.0;0.0"/>
  </numFmts>
  <fonts count="11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b/>
      <sz val="26"/>
      <color theme="1"/>
      <name val="Aptos Narrow"/>
      <family val="2"/>
      <scheme val="minor"/>
    </font>
    <font>
      <b/>
      <sz val="22"/>
      <color theme="1"/>
      <name val="Aptos Narrow"/>
      <family val="2"/>
      <scheme val="minor"/>
    </font>
    <font>
      <b/>
      <sz val="14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4"/>
      <color theme="1"/>
      <name val="Aptos Narrow"/>
      <family val="2"/>
      <scheme val="minor"/>
    </font>
    <font>
      <b/>
      <sz val="24"/>
      <color theme="1"/>
      <name val="Aptos Narrow"/>
      <family val="2"/>
      <scheme val="minor"/>
    </font>
    <font>
      <b/>
      <sz val="28"/>
      <color theme="1"/>
      <name val="Aptos Narrow"/>
      <family val="2"/>
      <scheme val="minor"/>
    </font>
    <font>
      <b/>
      <i/>
      <sz val="16"/>
      <color theme="2" tint="-0.499984740745262"/>
      <name val="Aptos Narrow"/>
      <family val="2"/>
      <scheme val="minor"/>
    </font>
    <font>
      <sz val="14"/>
      <color theme="2" tint="-0.749992370372631"/>
      <name val="Aptos Narrow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3" tint="0.749992370372631"/>
        <bgColor indexed="64"/>
      </patternFill>
    </fill>
    <fill>
      <patternFill patternType="solid">
        <fgColor theme="6" tint="0.59999389629810485"/>
        <bgColor indexed="64"/>
      </patternFill>
    </fill>
  </fills>
  <borders count="1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</borders>
  <cellStyleXfs count="2">
    <xf numFmtId="0" fontId="0" fillId="0" borderId="0"/>
    <xf numFmtId="9" fontId="1" fillId="0" borderId="0" applyFont="0" applyFill="0" applyBorder="0" applyAlignment="0" applyProtection="0"/>
  </cellStyleXfs>
  <cellXfs count="31">
    <xf numFmtId="0" fontId="0" fillId="0" borderId="0" xfId="0"/>
    <xf numFmtId="0" fontId="4" fillId="2" borderId="1" xfId="0" applyFont="1" applyFill="1" applyBorder="1" applyAlignment="1">
      <alignment horizontal="center"/>
    </xf>
    <xf numFmtId="0" fontId="4" fillId="3" borderId="1" xfId="0" applyFont="1" applyFill="1" applyBorder="1" applyAlignment="1">
      <alignment horizontal="center"/>
    </xf>
    <xf numFmtId="164" fontId="2" fillId="2" borderId="2" xfId="1" applyNumberFormat="1" applyFont="1" applyFill="1" applyBorder="1" applyAlignment="1">
      <alignment horizontal="center"/>
    </xf>
    <xf numFmtId="164" fontId="2" fillId="3" borderId="2" xfId="1" applyNumberFormat="1" applyFont="1" applyFill="1" applyBorder="1" applyAlignment="1">
      <alignment horizontal="center"/>
    </xf>
    <xf numFmtId="0" fontId="0" fillId="0" borderId="0" xfId="0" applyNumberFormat="1"/>
    <xf numFmtId="0" fontId="5" fillId="0" borderId="0" xfId="0" applyFont="1"/>
    <xf numFmtId="169" fontId="0" fillId="0" borderId="0" xfId="0" applyNumberFormat="1"/>
    <xf numFmtId="0" fontId="4" fillId="0" borderId="0" xfId="0" applyFont="1"/>
    <xf numFmtId="0" fontId="7" fillId="0" borderId="7" xfId="0" applyFont="1" applyBorder="1"/>
    <xf numFmtId="0" fontId="0" fillId="0" borderId="8" xfId="0" applyBorder="1"/>
    <xf numFmtId="0" fontId="0" fillId="0" borderId="9" xfId="0" applyBorder="1"/>
    <xf numFmtId="0" fontId="0" fillId="0" borderId="10" xfId="0" applyBorder="1"/>
    <xf numFmtId="0" fontId="0" fillId="0" borderId="0" xfId="0" applyBorder="1"/>
    <xf numFmtId="0" fontId="0" fillId="0" borderId="11" xfId="0" applyBorder="1"/>
    <xf numFmtId="0" fontId="0" fillId="0" borderId="12" xfId="0" applyBorder="1"/>
    <xf numFmtId="0" fontId="0" fillId="0" borderId="13" xfId="0" applyBorder="1"/>
    <xf numFmtId="0" fontId="0" fillId="0" borderId="14" xfId="0" applyBorder="1"/>
    <xf numFmtId="165" fontId="3" fillId="2" borderId="2" xfId="0" applyNumberFormat="1" applyFont="1" applyFill="1" applyBorder="1" applyAlignment="1">
      <alignment horizontal="center"/>
    </xf>
    <xf numFmtId="0" fontId="7" fillId="0" borderId="0" xfId="0" applyFont="1" applyBorder="1"/>
    <xf numFmtId="0" fontId="8" fillId="0" borderId="0" xfId="0" applyFont="1"/>
    <xf numFmtId="0" fontId="9" fillId="0" borderId="0" xfId="0" applyFont="1"/>
    <xf numFmtId="0" fontId="5" fillId="0" borderId="5" xfId="0" applyFont="1" applyBorder="1" applyAlignment="1">
      <alignment horizontal="right"/>
    </xf>
    <xf numFmtId="0" fontId="5" fillId="0" borderId="6" xfId="0" applyFont="1" applyBorder="1" applyAlignment="1">
      <alignment horizontal="right"/>
    </xf>
    <xf numFmtId="166" fontId="10" fillId="2" borderId="3" xfId="0" applyNumberFormat="1" applyFont="1" applyFill="1" applyBorder="1" applyAlignment="1">
      <alignment horizontal="center"/>
    </xf>
    <xf numFmtId="0" fontId="6" fillId="0" borderId="0" xfId="0" applyFont="1"/>
    <xf numFmtId="166" fontId="10" fillId="3" borderId="3" xfId="0" applyNumberFormat="1" applyFont="1" applyFill="1" applyBorder="1" applyAlignment="1">
      <alignment horizontal="center"/>
    </xf>
    <xf numFmtId="167" fontId="10" fillId="2" borderId="3" xfId="0" applyNumberFormat="1" applyFont="1" applyFill="1" applyBorder="1" applyAlignment="1">
      <alignment horizontal="center"/>
    </xf>
    <xf numFmtId="168" fontId="10" fillId="2" borderId="3" xfId="0" applyNumberFormat="1" applyFont="1" applyFill="1" applyBorder="1" applyAlignment="1">
      <alignment horizontal="center"/>
    </xf>
    <xf numFmtId="0" fontId="5" fillId="0" borderId="4" xfId="0" applyFont="1" applyBorder="1" applyAlignment="1">
      <alignment horizontal="left"/>
    </xf>
    <xf numFmtId="0" fontId="5" fillId="0" borderId="5" xfId="0" applyFont="1" applyBorder="1" applyAlignment="1">
      <alignment horizontal="left"/>
    </xf>
  </cellXfs>
  <cellStyles count="2">
    <cellStyle name="Normal" xfId="0" builtinId="0"/>
    <cellStyle name="Per cent" xfId="1" builtinId="5"/>
  </cellStyles>
  <dxfs count="17">
    <dxf>
      <font>
        <b/>
        <i val="0"/>
      </font>
    </dxf>
    <dxf>
      <font>
        <b/>
        <i val="0"/>
      </font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21" Type="http://schemas.openxmlformats.org/officeDocument/2006/relationships/customXml" Target="../customXml/item1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styles" Target="styles.xml"/><Relationship Id="rId2" Type="http://schemas.openxmlformats.org/officeDocument/2006/relationships/worksheet" Target="worksheets/sheet2.xml"/><Relationship Id="rId16" Type="http://schemas.openxmlformats.org/officeDocument/2006/relationships/connections" Target="connections.xml"/><Relationship Id="rId20" Type="http://schemas.openxmlformats.org/officeDocument/2006/relationships/calcChain" Target="calcChain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theme" Target="theme/theme1.xml"/><Relationship Id="rId10" Type="http://schemas.openxmlformats.org/officeDocument/2006/relationships/worksheet" Target="worksheets/sheet10.xml"/><Relationship Id="rId19" Type="http://schemas.openxmlformats.org/officeDocument/2006/relationships/sheetMetadata" Target="metadata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_rels/chart5.xml.rels><?xml version="1.0" encoding="UTF-8" standalone="yes"?>
<Relationships xmlns="http://schemas.openxmlformats.org/package/2006/relationships"><Relationship Id="rId2" Type="http://schemas.microsoft.com/office/2011/relationships/chartColorStyle" Target="colors5.xml"/><Relationship Id="rId1" Type="http://schemas.microsoft.com/office/2011/relationships/chartStyle" Target="style5.xml"/></Relationships>
</file>

<file path=xl/charts/_rels/chart6.xml.rels><?xml version="1.0" encoding="UTF-8" standalone="yes"?>
<Relationships xmlns="http://schemas.openxmlformats.org/package/2006/relationships"><Relationship Id="rId2" Type="http://schemas.microsoft.com/office/2011/relationships/chartColorStyle" Target="colors6.xml"/><Relationship Id="rId1" Type="http://schemas.microsoft.com/office/2011/relationships/chartStyle" Target="style6.xml"/></Relationships>
</file>

<file path=xl/charts/_rels/chart7.xml.rels><?xml version="1.0" encoding="UTF-8" standalone="yes"?>
<Relationships xmlns="http://schemas.openxmlformats.org/package/2006/relationships"><Relationship Id="rId2" Type="http://schemas.microsoft.com/office/2011/relationships/chartColorStyle" Target="colors7.xml"/><Relationship Id="rId1" Type="http://schemas.microsoft.com/office/2011/relationships/chartStyle" Target="style7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GB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 algn="ctr" rtl="0">
              <a:defRPr lang="en-GB" sz="1400" b="1" i="0" u="none" strike="noStrike" kern="1200" spc="0" baseline="0">
                <a:solidFill>
                  <a:sysClr val="windowText" lastClr="000000">
                    <a:lumMod val="65000"/>
                    <a:lumOff val="35000"/>
                  </a:sysClr>
                </a:solidFill>
                <a:latin typeface="+mn-lt"/>
                <a:ea typeface="+mn-ea"/>
                <a:cs typeface="+mn-cs"/>
              </a:defRPr>
            </a:pPr>
            <a:r>
              <a:rPr lang="en-GB" sz="1400" b="1" i="0" u="none" strike="noStrike" kern="1200" spc="0" baseline="0">
                <a:solidFill>
                  <a:sysClr val="windowText" lastClr="000000">
                    <a:lumMod val="65000"/>
                    <a:lumOff val="35000"/>
                  </a:sysClr>
                </a:solidFill>
                <a:latin typeface="+mn-lt"/>
                <a:ea typeface="+mn-ea"/>
                <a:cs typeface="+mn-cs"/>
              </a:rPr>
              <a:t>West Sussex mirrors England: 8 in 10 homes Good, and no Inadequate homes locally</a:t>
            </a:r>
          </a:p>
          <a:p>
            <a:pPr algn="ctr" rtl="0">
              <a:defRPr lang="en-GB" sz="1400" b="1" i="0" u="none" strike="noStrike" kern="1200" spc="0" baseline="0">
                <a:solidFill>
                  <a:sysClr val="windowText" lastClr="000000">
                    <a:lumMod val="65000"/>
                    <a:lumOff val="35000"/>
                  </a:sysClr>
                </a:solidFill>
                <a:latin typeface="+mn-lt"/>
                <a:ea typeface="+mn-ea"/>
                <a:cs typeface="+mn-cs"/>
              </a:defRPr>
            </a:pPr>
            <a:endParaRPr lang="en-GB" sz="1400" b="1" i="0" u="none" strike="noStrike" kern="1200" spc="0" baseline="0">
              <a:solidFill>
                <a:sysClr val="windowText" lastClr="000000">
                  <a:lumMod val="65000"/>
                  <a:lumOff val="35000"/>
                </a:sysClr>
              </a:solidFill>
              <a:latin typeface="+mn-lt"/>
              <a:ea typeface="+mn-ea"/>
              <a:cs typeface="+mn-cs"/>
            </a:endParaRP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 algn="ctr" rtl="0">
            <a:defRPr lang="en-GB" sz="1400" b="1" i="0" u="none" strike="noStrike" kern="1200" spc="0" baseline="0">
              <a:solidFill>
                <a:sysClr val="windowText" lastClr="000000">
                  <a:lumMod val="65000"/>
                  <a:lumOff val="35000"/>
                </a:sys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'chart_feed '!$B$1</c:f>
              <c:strCache>
                <c:ptCount val="1"/>
                <c:pt idx="0">
                  <c:v>England 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'chart_feed '!$A$2:$A$5</c:f>
              <c:strCache>
                <c:ptCount val="4"/>
                <c:pt idx="0">
                  <c:v>Outstanding</c:v>
                </c:pt>
                <c:pt idx="1">
                  <c:v>Good</c:v>
                </c:pt>
                <c:pt idx="2">
                  <c:v>Requires improvement</c:v>
                </c:pt>
                <c:pt idx="3">
                  <c:v>Inadequate</c:v>
                </c:pt>
              </c:strCache>
            </c:strRef>
          </c:cat>
          <c:val>
            <c:numRef>
              <c:f>'chart_feed '!$B$2:$B$5</c:f>
              <c:numCache>
                <c:formatCode>General</c:formatCode>
                <c:ptCount val="4"/>
                <c:pt idx="0">
                  <c:v>4.5999999999999996</c:v>
                </c:pt>
                <c:pt idx="1">
                  <c:v>78</c:v>
                </c:pt>
                <c:pt idx="2">
                  <c:v>16.7</c:v>
                </c:pt>
                <c:pt idx="3">
                  <c:v>0.7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7041-4AC0-85D4-1C6CF44B81F5}"/>
            </c:ext>
          </c:extLst>
        </c:ser>
        <c:ser>
          <c:idx val="1"/>
          <c:order val="1"/>
          <c:tx>
            <c:strRef>
              <c:f>'chart_feed '!$C$1</c:f>
              <c:strCache>
                <c:ptCount val="1"/>
                <c:pt idx="0">
                  <c:v>West Sussex</c:v>
                </c:pt>
              </c:strCache>
            </c:strRef>
          </c:tx>
          <c:spPr>
            <a:solidFill>
              <a:srgbClr val="00B050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'chart_feed '!$A$2:$A$5</c:f>
              <c:strCache>
                <c:ptCount val="4"/>
                <c:pt idx="0">
                  <c:v>Outstanding</c:v>
                </c:pt>
                <c:pt idx="1">
                  <c:v>Good</c:v>
                </c:pt>
                <c:pt idx="2">
                  <c:v>Requires improvement</c:v>
                </c:pt>
                <c:pt idx="3">
                  <c:v>Inadequate</c:v>
                </c:pt>
              </c:strCache>
            </c:strRef>
          </c:cat>
          <c:val>
            <c:numRef>
              <c:f>'chart_feed '!$C$2:$C$5</c:f>
              <c:numCache>
                <c:formatCode>General</c:formatCode>
                <c:ptCount val="4"/>
                <c:pt idx="0">
                  <c:v>3.5</c:v>
                </c:pt>
                <c:pt idx="1">
                  <c:v>80.599999999999994</c:v>
                </c:pt>
                <c:pt idx="2">
                  <c:v>15.9</c:v>
                </c:pt>
                <c:pt idx="3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7041-4AC0-85D4-1C6CF44B81F5}"/>
            </c:ext>
          </c:extLst>
        </c:ser>
        <c:dLbls>
          <c:dLblPos val="outEnd"/>
          <c:showLegendKey val="0"/>
          <c:showVal val="1"/>
          <c:showCatName val="0"/>
          <c:showSerName val="0"/>
          <c:showPercent val="0"/>
          <c:showBubbleSize val="0"/>
        </c:dLbls>
        <c:gapWidth val="219"/>
        <c:overlap val="-27"/>
        <c:axId val="1438696431"/>
        <c:axId val="1115419951"/>
      </c:barChart>
      <c:catAx>
        <c:axId val="1438696431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115419951"/>
        <c:crosses val="autoZero"/>
        <c:auto val="1"/>
        <c:lblAlgn val="ctr"/>
        <c:lblOffset val="100"/>
        <c:noMultiLvlLbl val="0"/>
      </c:catAx>
      <c:valAx>
        <c:axId val="1115419951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&quot;%&quot;" sourceLinked="0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438696431"/>
        <c:crosses val="autoZero"/>
        <c:crossBetween val="between"/>
        <c:majorUnit val="20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GB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 algn="ctr" rtl="0">
              <a:defRPr lang="en-GB" sz="1400" b="1" i="0" u="none" strike="noStrike" kern="1200" spc="0" baseline="0">
                <a:solidFill>
                  <a:sysClr val="windowText" lastClr="000000">
                    <a:lumMod val="65000"/>
                    <a:lumOff val="35000"/>
                  </a:sysClr>
                </a:solidFill>
                <a:latin typeface="+mn-lt"/>
                <a:ea typeface="+mn-ea"/>
                <a:cs typeface="+mn-cs"/>
              </a:defRPr>
            </a:pPr>
            <a:r>
              <a:rPr lang="en-GB" sz="1400" b="1" i="0" u="none" strike="noStrike" kern="1200" spc="0" baseline="0">
                <a:solidFill>
                  <a:sysClr val="windowText" lastClr="000000">
                    <a:lumMod val="65000"/>
                    <a:lumOff val="35000"/>
                  </a:sysClr>
                </a:solidFill>
                <a:latin typeface="+mn-lt"/>
                <a:ea typeface="+mn-ea"/>
                <a:cs typeface="+mn-cs"/>
              </a:rPr>
              <a:t>West Sussex beats England in both home types, with its biggest lead in nursing homes</a:t>
            </a:r>
          </a:p>
          <a:p>
            <a:pPr algn="ctr" rtl="0">
              <a:defRPr lang="en-GB" sz="1400" b="1" i="0" u="none" strike="noStrike" kern="1200" spc="0" baseline="0">
                <a:solidFill>
                  <a:sysClr val="windowText" lastClr="000000">
                    <a:lumMod val="65000"/>
                    <a:lumOff val="35000"/>
                  </a:sysClr>
                </a:solidFill>
                <a:latin typeface="+mn-lt"/>
                <a:ea typeface="+mn-ea"/>
                <a:cs typeface="+mn-cs"/>
              </a:defRPr>
            </a:pPr>
            <a:endParaRPr lang="en-GB" sz="1400" b="1" i="0" u="none" strike="noStrike" kern="1200" spc="0" baseline="0">
              <a:solidFill>
                <a:sysClr val="windowText" lastClr="000000">
                  <a:lumMod val="65000"/>
                  <a:lumOff val="35000"/>
                </a:sysClr>
              </a:solidFill>
              <a:latin typeface="+mn-lt"/>
              <a:ea typeface="+mn-ea"/>
              <a:cs typeface="+mn-cs"/>
            </a:endParaRP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 algn="ctr" rtl="0">
            <a:defRPr lang="en-GB" sz="1400" b="1" i="0" u="none" strike="noStrike" kern="1200" spc="0" baseline="0">
              <a:solidFill>
                <a:sysClr val="windowText" lastClr="000000">
                  <a:lumMod val="65000"/>
                  <a:lumOff val="35000"/>
                </a:sys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'chart_feed '!$F$1</c:f>
              <c:strCache>
                <c:ptCount val="1"/>
                <c:pt idx="0">
                  <c:v>England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'chart_feed '!$E$2:$E$3</c:f>
              <c:strCache>
                <c:ptCount val="2"/>
                <c:pt idx="0">
                  <c:v>Residential</c:v>
                </c:pt>
                <c:pt idx="1">
                  <c:v>Nursing</c:v>
                </c:pt>
              </c:strCache>
            </c:strRef>
          </c:cat>
          <c:val>
            <c:numRef>
              <c:f>'chart_feed '!$F$2:$F$3</c:f>
              <c:numCache>
                <c:formatCode>General</c:formatCode>
                <c:ptCount val="2"/>
                <c:pt idx="0">
                  <c:v>83.7</c:v>
                </c:pt>
                <c:pt idx="1">
                  <c:v>80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E373-42F2-A7BE-79E8460D9557}"/>
            </c:ext>
          </c:extLst>
        </c:ser>
        <c:ser>
          <c:idx val="1"/>
          <c:order val="1"/>
          <c:tx>
            <c:strRef>
              <c:f>'chart_feed '!$G$1</c:f>
              <c:strCache>
                <c:ptCount val="1"/>
                <c:pt idx="0">
                  <c:v>West Sussex</c:v>
                </c:pt>
              </c:strCache>
            </c:strRef>
          </c:tx>
          <c:spPr>
            <a:solidFill>
              <a:srgbClr val="00B050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'chart_feed '!$E$2:$E$3</c:f>
              <c:strCache>
                <c:ptCount val="2"/>
                <c:pt idx="0">
                  <c:v>Residential</c:v>
                </c:pt>
                <c:pt idx="1">
                  <c:v>Nursing</c:v>
                </c:pt>
              </c:strCache>
            </c:strRef>
          </c:cat>
          <c:val>
            <c:numRef>
              <c:f>'chart_feed '!$G$2:$G$3</c:f>
              <c:numCache>
                <c:formatCode>General</c:formatCode>
                <c:ptCount val="2"/>
                <c:pt idx="0">
                  <c:v>84.5</c:v>
                </c:pt>
                <c:pt idx="1">
                  <c:v>83.3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E373-42F2-A7BE-79E8460D9557}"/>
            </c:ext>
          </c:extLst>
        </c:ser>
        <c:dLbls>
          <c:dLblPos val="outEnd"/>
          <c:showLegendKey val="0"/>
          <c:showVal val="1"/>
          <c:showCatName val="0"/>
          <c:showSerName val="0"/>
          <c:showPercent val="0"/>
          <c:showBubbleSize val="0"/>
        </c:dLbls>
        <c:gapWidth val="219"/>
        <c:overlap val="-27"/>
        <c:axId val="1438747007"/>
        <c:axId val="1115371471"/>
      </c:barChart>
      <c:catAx>
        <c:axId val="1438747007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115371471"/>
        <c:crosses val="autoZero"/>
        <c:auto val="1"/>
        <c:lblAlgn val="ctr"/>
        <c:lblOffset val="100"/>
        <c:noMultiLvlLbl val="0"/>
      </c:catAx>
      <c:valAx>
        <c:axId val="1115371471"/>
        <c:scaling>
          <c:orientation val="minMax"/>
          <c:max val="100"/>
          <c:min val="0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&quot;%&quot;" sourceLinked="0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438747007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GB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GB" sz="1400" b="1" i="0" u="none" strike="noStrike" baseline="0"/>
              <a:t>England: ratings rise with provider size, as larger groups have more Good or Outstanding homes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1"/>
          <c:order val="0"/>
          <c:tx>
            <c:strRef>
              <c:f>data_q6!$C$1</c:f>
              <c:strCache>
                <c:ptCount val="1"/>
                <c:pt idx="0">
                  <c:v>pct_good_or_outstanding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data_q6!$A$2:$A$5</c:f>
              <c:strCache>
                <c:ptCount val="4"/>
                <c:pt idx="0">
                  <c:v>1: single home</c:v>
                </c:pt>
                <c:pt idx="1">
                  <c:v>2: 2-5 homes</c:v>
                </c:pt>
                <c:pt idx="2">
                  <c:v>3: 6-20 homes</c:v>
                </c:pt>
                <c:pt idx="3">
                  <c:v>4: 21+ homes</c:v>
                </c:pt>
              </c:strCache>
            </c:strRef>
          </c:cat>
          <c:val>
            <c:numRef>
              <c:f>data_q6!$C$2:$C$5</c:f>
              <c:numCache>
                <c:formatCode>General</c:formatCode>
                <c:ptCount val="4"/>
                <c:pt idx="0">
                  <c:v>79</c:v>
                </c:pt>
                <c:pt idx="1">
                  <c:v>83</c:v>
                </c:pt>
                <c:pt idx="2">
                  <c:v>85</c:v>
                </c:pt>
                <c:pt idx="3">
                  <c:v>87.3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332A-48A3-BD9A-568D9D6E75E0}"/>
            </c:ext>
          </c:extLst>
        </c:ser>
        <c:dLbls>
          <c:dLblPos val="outEnd"/>
          <c:showLegendKey val="0"/>
          <c:showVal val="1"/>
          <c:showCatName val="0"/>
          <c:showSerName val="0"/>
          <c:showPercent val="0"/>
          <c:showBubbleSize val="0"/>
        </c:dLbls>
        <c:gapWidth val="219"/>
        <c:overlap val="-27"/>
        <c:axId val="930771920"/>
        <c:axId val="1115435791"/>
      </c:barChart>
      <c:catAx>
        <c:axId val="930771920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115435791"/>
        <c:crosses val="autoZero"/>
        <c:auto val="1"/>
        <c:lblAlgn val="ctr"/>
        <c:lblOffset val="100"/>
        <c:noMultiLvlLbl val="0"/>
      </c:catAx>
      <c:valAx>
        <c:axId val="1115435791"/>
        <c:scaling>
          <c:orientation val="minMax"/>
          <c:min val="0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&quot;%&quot;" sourceLinked="0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930771920"/>
        <c:crosses val="autoZero"/>
        <c:crossBetween val="between"/>
        <c:majorUnit val="20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GB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 algn="ctr" rtl="0">
              <a:defRPr lang="en-GB" sz="1400" b="1" i="0" u="none" strike="noStrike" kern="1200" spc="0" baseline="0">
                <a:solidFill>
                  <a:sysClr val="windowText" lastClr="000000">
                    <a:lumMod val="65000"/>
                    <a:lumOff val="35000"/>
                  </a:sysClr>
                </a:solidFill>
                <a:latin typeface="+mn-lt"/>
                <a:ea typeface="+mn-ea"/>
                <a:cs typeface="+mn-cs"/>
              </a:defRPr>
            </a:pPr>
            <a:r>
              <a:rPr lang="en-GB" sz="1400" b="1" i="0" u="none" strike="noStrike" kern="1200" spc="0" baseline="0">
                <a:solidFill>
                  <a:sysClr val="windowText" lastClr="000000">
                    <a:lumMod val="65000"/>
                    <a:lumOff val="35000"/>
                  </a:sysClr>
                </a:solidFill>
                <a:latin typeface="+mn-lt"/>
                <a:ea typeface="+mn-ea"/>
                <a:cs typeface="+mn-cs"/>
              </a:rPr>
              <a:t>West Sussex dementia homes outperform England’s, while its non-dementia homes trail behind</a:t>
            </a:r>
          </a:p>
        </c:rich>
      </c:tx>
      <c:layout>
        <c:manualLayout>
          <c:xMode val="edge"/>
          <c:yMode val="edge"/>
          <c:x val="9.4920433011465577E-2"/>
          <c:y val="2.8452465899047513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 algn="ctr" rtl="0">
            <a:defRPr lang="en-GB" sz="1400" b="1" i="0" u="none" strike="noStrike" kern="1200" spc="0" baseline="0">
              <a:solidFill>
                <a:sysClr val="windowText" lastClr="000000">
                  <a:lumMod val="65000"/>
                  <a:lumOff val="35000"/>
                </a:sys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'chart_feed '!$J$1</c:f>
              <c:strCache>
                <c:ptCount val="1"/>
                <c:pt idx="0">
                  <c:v>England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'chart_feed '!$I$2:$I$3</c:f>
              <c:strCache>
                <c:ptCount val="2"/>
                <c:pt idx="0">
                  <c:v>Dementia</c:v>
                </c:pt>
                <c:pt idx="1">
                  <c:v>Not Dementia</c:v>
                </c:pt>
              </c:strCache>
            </c:strRef>
          </c:cat>
          <c:val>
            <c:numRef>
              <c:f>'chart_feed '!$J$2:$J$3</c:f>
              <c:numCache>
                <c:formatCode>General</c:formatCode>
                <c:ptCount val="2"/>
                <c:pt idx="0">
                  <c:v>79.599999999999994</c:v>
                </c:pt>
                <c:pt idx="1">
                  <c:v>86.4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DDFF-443C-B2DC-0F7BEFF50553}"/>
            </c:ext>
          </c:extLst>
        </c:ser>
        <c:ser>
          <c:idx val="1"/>
          <c:order val="1"/>
          <c:tx>
            <c:strRef>
              <c:f>'chart_feed '!$K$1</c:f>
              <c:strCache>
                <c:ptCount val="1"/>
                <c:pt idx="0">
                  <c:v>West Sussex</c:v>
                </c:pt>
              </c:strCache>
            </c:strRef>
          </c:tx>
          <c:spPr>
            <a:solidFill>
              <a:srgbClr val="00B050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'chart_feed '!$I$2:$I$3</c:f>
              <c:strCache>
                <c:ptCount val="2"/>
                <c:pt idx="0">
                  <c:v>Dementia</c:v>
                </c:pt>
                <c:pt idx="1">
                  <c:v>Not Dementia</c:v>
                </c:pt>
              </c:strCache>
            </c:strRef>
          </c:cat>
          <c:val>
            <c:numRef>
              <c:f>'chart_feed '!$K$2:$K$3</c:f>
              <c:numCache>
                <c:formatCode>General</c:formatCode>
                <c:ptCount val="2"/>
                <c:pt idx="0">
                  <c:v>84.8</c:v>
                </c:pt>
                <c:pt idx="1">
                  <c:v>83.3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DDFF-443C-B2DC-0F7BEFF50553}"/>
            </c:ext>
          </c:extLst>
        </c:ser>
        <c:dLbls>
          <c:dLblPos val="outEnd"/>
          <c:showLegendKey val="0"/>
          <c:showVal val="1"/>
          <c:showCatName val="0"/>
          <c:showSerName val="0"/>
          <c:showPercent val="0"/>
          <c:showBubbleSize val="0"/>
        </c:dLbls>
        <c:gapWidth val="219"/>
        <c:overlap val="-27"/>
        <c:axId val="989978752"/>
        <c:axId val="1115280271"/>
      </c:barChart>
      <c:catAx>
        <c:axId val="989978752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115280271"/>
        <c:crosses val="autoZero"/>
        <c:auto val="1"/>
        <c:lblAlgn val="ctr"/>
        <c:lblOffset val="100"/>
        <c:noMultiLvlLbl val="0"/>
      </c:catAx>
      <c:valAx>
        <c:axId val="1115280271"/>
        <c:scaling>
          <c:orientation val="minMax"/>
          <c:min val="0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&quot;%&quot;" sourceLinked="0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989978752"/>
        <c:crosses val="autoZero"/>
        <c:crossBetween val="between"/>
        <c:majorUnit val="20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GB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GB" sz="1400" b="1" i="0" u="none" strike="noStrike" baseline="0"/>
              <a:t>Of England’s 2,342 homes rated below Good, 9 in 10 fall short on Well-led and Safe, few on Caring</a:t>
            </a:r>
            <a:endParaRPr lang="en-US" b="1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bar"/>
        <c:grouping val="clustered"/>
        <c:varyColors val="0"/>
        <c:ser>
          <c:idx val="0"/>
          <c:order val="0"/>
          <c:tx>
            <c:strRef>
              <c:f>q5_long!$B$1</c:f>
              <c:strCache>
                <c:ptCount val="1"/>
                <c:pt idx="0">
                  <c:v>Pct failing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q5_long!$A$2:$A$6</c:f>
              <c:strCache>
                <c:ptCount val="5"/>
                <c:pt idx="0">
                  <c:v>Well-led</c:v>
                </c:pt>
                <c:pt idx="1">
                  <c:v>Safe</c:v>
                </c:pt>
                <c:pt idx="2">
                  <c:v>Effective</c:v>
                </c:pt>
                <c:pt idx="3">
                  <c:v>Responsive</c:v>
                </c:pt>
                <c:pt idx="4">
                  <c:v>Caring</c:v>
                </c:pt>
              </c:strCache>
            </c:strRef>
          </c:cat>
          <c:val>
            <c:numRef>
              <c:f>q5_long!$B$2:$B$6</c:f>
              <c:numCache>
                <c:formatCode>General</c:formatCode>
                <c:ptCount val="5"/>
                <c:pt idx="0">
                  <c:v>98.2</c:v>
                </c:pt>
                <c:pt idx="1">
                  <c:v>93.1</c:v>
                </c:pt>
                <c:pt idx="2">
                  <c:v>45.1</c:v>
                </c:pt>
                <c:pt idx="3">
                  <c:v>30.9</c:v>
                </c:pt>
                <c:pt idx="4">
                  <c:v>21.9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9B64-41D8-818F-6D4DC8B25E33}"/>
            </c:ext>
          </c:extLst>
        </c:ser>
        <c:dLbls>
          <c:dLblPos val="outEnd"/>
          <c:showLegendKey val="0"/>
          <c:showVal val="1"/>
          <c:showCatName val="0"/>
          <c:showSerName val="0"/>
          <c:showPercent val="0"/>
          <c:showBubbleSize val="0"/>
        </c:dLbls>
        <c:gapWidth val="182"/>
        <c:axId val="540621935"/>
        <c:axId val="122072303"/>
      </c:barChart>
      <c:catAx>
        <c:axId val="540621935"/>
        <c:scaling>
          <c:orientation val="maxMin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noFill/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22072303"/>
        <c:crosses val="autoZero"/>
        <c:auto val="1"/>
        <c:lblAlgn val="ctr"/>
        <c:lblOffset val="100"/>
        <c:noMultiLvlLbl val="0"/>
      </c:catAx>
      <c:valAx>
        <c:axId val="122072303"/>
        <c:scaling>
          <c:orientation val="minMax"/>
          <c:max val="100"/>
        </c:scaling>
        <c:delete val="0"/>
        <c:axPos val="t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&quot;%&quot;" sourceLinked="0"/>
        <c:majorTickMark val="none"/>
        <c:minorTickMark val="none"/>
        <c:tickLblPos val="high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540621935"/>
        <c:crosses val="autoZero"/>
        <c:crossBetween val="between"/>
        <c:majorUnit val="20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GB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GB" sz="1400" b="1" i="0" u="none" strike="noStrike" baseline="0"/>
              <a:t>Smallest homes (1–10 beds) score highest, but most are learning-disability services, so size may not be the cause</a:t>
            </a:r>
            <a:endParaRPr lang="en-US" b="1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>
        <c:manualLayout>
          <c:layoutTarget val="inner"/>
          <c:xMode val="edge"/>
          <c:yMode val="edge"/>
          <c:x val="8.9817147856517954E-2"/>
          <c:y val="0.33921296296296294"/>
          <c:w val="0.87129396325459318"/>
          <c:h val="0.56301727909011379"/>
        </c:manualLayout>
      </c:layout>
      <c:barChart>
        <c:barDir val="col"/>
        <c:grouping val="clustered"/>
        <c:varyColors val="0"/>
        <c:ser>
          <c:idx val="0"/>
          <c:order val="0"/>
          <c:tx>
            <c:strRef>
              <c:f>data_q4!$C$1</c:f>
              <c:strCache>
                <c:ptCount val="1"/>
                <c:pt idx="0">
                  <c:v>pct_good_or_outstanding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data_q4!$A$2:$A$5</c:f>
              <c:strCache>
                <c:ptCount val="4"/>
                <c:pt idx="0">
                  <c:v>1-10</c:v>
                </c:pt>
                <c:pt idx="1">
                  <c:v>11-29</c:v>
                </c:pt>
                <c:pt idx="2">
                  <c:v>30-59</c:v>
                </c:pt>
                <c:pt idx="3">
                  <c:v>60 or more</c:v>
                </c:pt>
              </c:strCache>
            </c:strRef>
          </c:cat>
          <c:val>
            <c:numRef>
              <c:f>data_q4!$C$2:$C$5</c:f>
              <c:numCache>
                <c:formatCode>General</c:formatCode>
                <c:ptCount val="4"/>
                <c:pt idx="0">
                  <c:v>88.2</c:v>
                </c:pt>
                <c:pt idx="1">
                  <c:v>81.400000000000006</c:v>
                </c:pt>
                <c:pt idx="2">
                  <c:v>79.7</c:v>
                </c:pt>
                <c:pt idx="3">
                  <c:v>80.099999999999994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FBE7-41E7-A5BB-3E05725EA637}"/>
            </c:ext>
          </c:extLst>
        </c:ser>
        <c:dLbls>
          <c:dLblPos val="outEnd"/>
          <c:showLegendKey val="0"/>
          <c:showVal val="1"/>
          <c:showCatName val="0"/>
          <c:showSerName val="0"/>
          <c:showPercent val="0"/>
          <c:showBubbleSize val="0"/>
        </c:dLbls>
        <c:gapWidth val="219"/>
        <c:overlap val="-27"/>
        <c:axId val="552701215"/>
        <c:axId val="1047961263"/>
      </c:barChart>
      <c:catAx>
        <c:axId val="552701215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047961263"/>
        <c:crosses val="autoZero"/>
        <c:auto val="1"/>
        <c:lblAlgn val="ctr"/>
        <c:lblOffset val="100"/>
        <c:noMultiLvlLbl val="0"/>
      </c:catAx>
      <c:valAx>
        <c:axId val="1047961263"/>
        <c:scaling>
          <c:orientation val="minMax"/>
          <c:max val="100"/>
          <c:min val="0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&quot;%&quot;" sourceLinked="0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552701215"/>
        <c:crosses val="autoZero"/>
        <c:crossBetween val="between"/>
        <c:majorUnit val="20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GB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GB" sz="1400" b="1" i="0" u="none" strike="noStrike" baseline="0"/>
              <a:t>Recent inspections rate fewer homes Good, so older ratings may overstate today’s quality</a:t>
            </a:r>
            <a:endParaRPr lang="en-US" b="1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data_q8!$C$1</c:f>
              <c:strCache>
                <c:ptCount val="1"/>
                <c:pt idx="0">
                  <c:v>pct_good_or_outstanding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data_q8!$A$2:$A$3</c:f>
              <c:strCache>
                <c:ptCount val="2"/>
                <c:pt idx="0">
                  <c:v>1: within 2 years</c:v>
                </c:pt>
                <c:pt idx="1">
                  <c:v>2: older than 2 years</c:v>
                </c:pt>
              </c:strCache>
            </c:strRef>
          </c:cat>
          <c:val>
            <c:numRef>
              <c:f>data_q8!$C$2:$C$3</c:f>
              <c:numCache>
                <c:formatCode>General</c:formatCode>
                <c:ptCount val="2"/>
                <c:pt idx="0">
                  <c:v>70.8</c:v>
                </c:pt>
                <c:pt idx="1">
                  <c:v>87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9978-4A11-84C1-A2F4A7F1FB23}"/>
            </c:ext>
          </c:extLst>
        </c:ser>
        <c:dLbls>
          <c:dLblPos val="outEnd"/>
          <c:showLegendKey val="0"/>
          <c:showVal val="1"/>
          <c:showCatName val="0"/>
          <c:showSerName val="0"/>
          <c:showPercent val="0"/>
          <c:showBubbleSize val="0"/>
        </c:dLbls>
        <c:gapWidth val="219"/>
        <c:overlap val="-27"/>
        <c:axId val="552691007"/>
        <c:axId val="1047915183"/>
      </c:barChart>
      <c:catAx>
        <c:axId val="552691007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047915183"/>
        <c:crosses val="autoZero"/>
        <c:auto val="1"/>
        <c:lblAlgn val="ctr"/>
        <c:lblOffset val="100"/>
        <c:noMultiLvlLbl val="0"/>
      </c:catAx>
      <c:valAx>
        <c:axId val="1047915183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&quot;%&quot;" sourceLinked="0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552691007"/>
        <c:crosses val="autoZero"/>
        <c:crossBetween val="between"/>
        <c:majorUnit val="20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7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5.xml><?xml version="1.0" encoding="utf-8"?>
<cs:chartStyle xmlns:cs="http://schemas.microsoft.com/office/drawing/2012/chartStyle" xmlns:a="http://schemas.openxmlformats.org/drawingml/2006/main" id="21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6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7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chart" Target="../charts/chart3.xml"/><Relationship Id="rId7" Type="http://schemas.openxmlformats.org/officeDocument/2006/relationships/chart" Target="../charts/chart7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Relationship Id="rId6" Type="http://schemas.openxmlformats.org/officeDocument/2006/relationships/chart" Target="../charts/chart6.xml"/><Relationship Id="rId5" Type="http://schemas.openxmlformats.org/officeDocument/2006/relationships/chart" Target="../charts/chart5.xml"/><Relationship Id="rId4" Type="http://schemas.openxmlformats.org/officeDocument/2006/relationships/chart" Target="../charts/chart4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605318</xdr:colOff>
      <xdr:row>6</xdr:row>
      <xdr:rowOff>7278</xdr:rowOff>
    </xdr:from>
    <xdr:to>
      <xdr:col>5</xdr:col>
      <xdr:colOff>878279</xdr:colOff>
      <xdr:row>20</xdr:row>
      <xdr:rowOff>85619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D61F637B-FDC4-4B5B-9F6D-EB9D5B04A1D9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5</xdr:col>
      <xdr:colOff>2651125</xdr:colOff>
      <xdr:row>6</xdr:row>
      <xdr:rowOff>31750</xdr:rowOff>
    </xdr:from>
    <xdr:to>
      <xdr:col>10</xdr:col>
      <xdr:colOff>26904</xdr:colOff>
      <xdr:row>20</xdr:row>
      <xdr:rowOff>79376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16A8A254-8DAF-409F-BDFB-E8A4D873E202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0</xdr:col>
      <xdr:colOff>576694</xdr:colOff>
      <xdr:row>21</xdr:row>
      <xdr:rowOff>182707</xdr:rowOff>
    </xdr:from>
    <xdr:to>
      <xdr:col>5</xdr:col>
      <xdr:colOff>927759</xdr:colOff>
      <xdr:row>36</xdr:row>
      <xdr:rowOff>73355</xdr:rowOff>
    </xdr:to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8FE33363-B0DA-4CAE-BBFB-F8D02B253F5F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5</xdr:col>
      <xdr:colOff>2667000</xdr:colOff>
      <xdr:row>21</xdr:row>
      <xdr:rowOff>179862</xdr:rowOff>
    </xdr:from>
    <xdr:to>
      <xdr:col>10</xdr:col>
      <xdr:colOff>0</xdr:colOff>
      <xdr:row>36</xdr:row>
      <xdr:rowOff>70510</xdr:rowOff>
    </xdr:to>
    <xdr:graphicFrame macro="">
      <xdr:nvGraphicFramePr>
        <xdr:cNvPr id="5" name="Chart 4">
          <a:extLst>
            <a:ext uri="{FF2B5EF4-FFF2-40B4-BE49-F238E27FC236}">
              <a16:creationId xmlns:a16="http://schemas.microsoft.com/office/drawing/2014/main" id="{762A8428-1823-4AA3-B557-150B932392EF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  <xdr:twoCellAnchor>
    <xdr:from>
      <xdr:col>0</xdr:col>
      <xdr:colOff>584667</xdr:colOff>
      <xdr:row>38</xdr:row>
      <xdr:rowOff>1434</xdr:rowOff>
    </xdr:from>
    <xdr:to>
      <xdr:col>5</xdr:col>
      <xdr:colOff>867764</xdr:colOff>
      <xdr:row>52</xdr:row>
      <xdr:rowOff>142683</xdr:rowOff>
    </xdr:to>
    <xdr:graphicFrame macro="">
      <xdr:nvGraphicFramePr>
        <xdr:cNvPr id="6" name="Chart 5">
          <a:extLst>
            <a:ext uri="{FF2B5EF4-FFF2-40B4-BE49-F238E27FC236}">
              <a16:creationId xmlns:a16="http://schemas.microsoft.com/office/drawing/2014/main" id="{C7DF5DED-4F1B-411B-AFD2-2F4CA18BDB86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/>
  </xdr:twoCellAnchor>
  <xdr:twoCellAnchor>
    <xdr:from>
      <xdr:col>5</xdr:col>
      <xdr:colOff>2698749</xdr:colOff>
      <xdr:row>37</xdr:row>
      <xdr:rowOff>179457</xdr:rowOff>
    </xdr:from>
    <xdr:to>
      <xdr:col>10</xdr:col>
      <xdr:colOff>24739</xdr:colOff>
      <xdr:row>52</xdr:row>
      <xdr:rowOff>127445</xdr:rowOff>
    </xdr:to>
    <xdr:graphicFrame macro="">
      <xdr:nvGraphicFramePr>
        <xdr:cNvPr id="7" name="Chart 6">
          <a:extLst>
            <a:ext uri="{FF2B5EF4-FFF2-40B4-BE49-F238E27FC236}">
              <a16:creationId xmlns:a16="http://schemas.microsoft.com/office/drawing/2014/main" id="{31492ECF-6A7A-4D1F-912C-ED25AA780785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6"/>
        </a:graphicData>
      </a:graphic>
    </xdr:graphicFrame>
    <xdr:clientData/>
  </xdr:twoCellAnchor>
  <xdr:twoCellAnchor>
    <xdr:from>
      <xdr:col>1</xdr:col>
      <xdr:colOff>82823</xdr:colOff>
      <xdr:row>55</xdr:row>
      <xdr:rowOff>179457</xdr:rowOff>
    </xdr:from>
    <xdr:to>
      <xdr:col>5</xdr:col>
      <xdr:colOff>968375</xdr:colOff>
      <xdr:row>75</xdr:row>
      <xdr:rowOff>15875</xdr:rowOff>
    </xdr:to>
    <xdr:graphicFrame macro="">
      <xdr:nvGraphicFramePr>
        <xdr:cNvPr id="8" name="Chart 7">
          <a:extLst>
            <a:ext uri="{FF2B5EF4-FFF2-40B4-BE49-F238E27FC236}">
              <a16:creationId xmlns:a16="http://schemas.microsoft.com/office/drawing/2014/main" id="{44A3D75F-F0F2-4978-8EA1-D4D3DA0E4B7A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7"/>
        </a:graphicData>
      </a:graphic>
    </xdr:graphicFrame>
    <xdr:clientData/>
  </xdr:twoCellAnchor>
  <xdr:oneCellAnchor>
    <xdr:from>
      <xdr:col>0</xdr:col>
      <xdr:colOff>581396</xdr:colOff>
      <xdr:row>89</xdr:row>
      <xdr:rowOff>12371</xdr:rowOff>
    </xdr:from>
    <xdr:ext cx="18038443" cy="4168734"/>
    <xdr:sp macro="" textlink="">
      <xdr:nvSpPr>
        <xdr:cNvPr id="9" name="TextBox 8">
          <a:extLst>
            <a:ext uri="{FF2B5EF4-FFF2-40B4-BE49-F238E27FC236}">
              <a16:creationId xmlns:a16="http://schemas.microsoft.com/office/drawing/2014/main" id="{D7ED63B3-0273-8EEA-9E8E-4999A169C6BF}"/>
            </a:ext>
          </a:extLst>
        </xdr:cNvPr>
        <xdr:cNvSpPr txBox="1"/>
      </xdr:nvSpPr>
      <xdr:spPr>
        <a:xfrm>
          <a:off x="581396" y="19784427"/>
          <a:ext cx="18038443" cy="4168734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square" rtlCol="0" anchor="t">
          <a:noAutofit/>
        </a:bodyPr>
        <a:lstStyle/>
        <a:p>
          <a:pPr lvl="0" rtl="0"/>
          <a:r>
            <a:rPr lang="en-GB" sz="2000" b="0" i="1"/>
            <a:t>1. West Sussex: 84.1% of rated homes are Good or Outstanding, slightly above England (82.6%) and the South East (81.9%).</a:t>
          </a:r>
        </a:p>
        <a:p>
          <a:pPr lvl="0" rtl="0"/>
          <a:endParaRPr lang="en-GB" sz="2000" b="0"/>
        </a:p>
        <a:p>
          <a:pPr lvl="0" rtl="0"/>
          <a:r>
            <a:rPr lang="en-GB" sz="2000" b="0" i="1"/>
            <a:t>2. West Sussex is 2.2 points above the South East average, 51st of 140 authorities when each is compared with its own region.</a:t>
          </a:r>
        </a:p>
        <a:p>
          <a:pPr lvl="0" rtl="0"/>
          <a:endParaRPr lang="en-GB" sz="2000" b="0"/>
        </a:p>
        <a:p>
          <a:pPr lvl="0" rtl="0"/>
          <a:r>
            <a:rPr lang="en-GB" sz="2000" b="0" i="1"/>
            <a:t>3. Nationally, homes run by larger providers rate higher (79.0% for single-home owners to 87.3% for groups of 21+), possibly reflecting shared systems. West Sussex dementia homes (84.8%) beat England’s (79.6%).</a:t>
          </a:r>
        </a:p>
        <a:p>
          <a:pPr lvl="0" rtl="0"/>
          <a:endParaRPr lang="en-GB" sz="2000" b="0" i="1"/>
        </a:p>
        <a:p>
          <a:pPr lvl="0" rtl="0"/>
          <a:r>
            <a:rPr lang="en-GB" sz="2000" b="0" i="1"/>
            <a:t>4. Of the 2,342 homes rated below Good, over 9 in 10 fall short on Well-led (98.2%) and Safe (93.1%), but only about 1 in 5 on Caring (21.9%).</a:t>
          </a:r>
        </a:p>
        <a:p>
          <a:pPr lvl="0" rtl="0"/>
          <a:endParaRPr lang="en-GB" sz="2000" b="0"/>
        </a:p>
        <a:p>
          <a:pPr lvl="0" rtl="0"/>
          <a:r>
            <a:rPr lang="en-GB" sz="2000" b="1" i="1"/>
            <a:t>Caution: 72.9% of ratings are over 2 years old, and recent inspections rate fewer homes Good (70.8% vs 87.0%). Small homes’ high scores may reflect their learning-disability focus, not their size.</a:t>
          </a:r>
        </a:p>
        <a:p>
          <a:endParaRPr lang="en-GB" sz="1100"/>
        </a:p>
      </xdr:txBody>
    </xdr:sp>
    <xdr:clientData/>
  </xdr:oneCellAnchor>
</xdr:wsDr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connectionId="12" xr16:uid="{90D03E60-9F3E-48BA-8142-816D39C1E9C9}" autoFormatId="16" applyNumberFormats="0" applyBorderFormats="0" applyFontFormats="0" applyPatternFormats="0" applyAlignmentFormats="0" applyWidthHeightFormats="0">
  <queryTableRefresh nextId="7">
    <queryTableFields count="6">
      <queryTableField id="1" name="region" tableColumnId="1"/>
      <queryTableField id="2" name="local_authority" tableColumnId="2"/>
      <queryTableField id="3" name="rated_homes" tableColumnId="3"/>
      <queryTableField id="4" name="la_pct" tableColumnId="4"/>
      <queryTableField id="5" name="region_pct" tableColumnId="5"/>
      <queryTableField id="6" name="gap" tableColumnId="6"/>
    </queryTableFields>
  </queryTableRefresh>
</queryTable>
</file>

<file path=xl/queryTables/queryTable2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connectionId="11" xr16:uid="{20D4ACB2-A50C-4504-9ECD-D387C1E162F3}" autoFormatId="16" applyNumberFormats="0" applyBorderFormats="0" applyFontFormats="0" applyPatternFormats="0" applyAlignmentFormats="0" applyWidthHeightFormats="0">
  <queryTableRefresh nextId="4">
    <queryTableFields count="3">
      <queryTableField id="1" name="rating_age_band" tableColumnId="1"/>
      <queryTableField id="2" name="rated_homes" tableColumnId="2"/>
      <queryTableField id="3" name="pct_good_or_outstanding" tableColumnId="3"/>
    </queryTableFields>
  </queryTableRefresh>
</queryTable>
</file>

<file path=xl/queryTables/queryTable3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connectionId="9" xr16:uid="{D1357A4D-C435-4FFA-A098-902D2CDDBF19}" autoFormatId="16" applyNumberFormats="0" applyBorderFormats="0" applyFontFormats="0" applyPatternFormats="0" applyAlignmentFormats="0" applyWidthHeightFormats="0">
  <queryTableRefresh nextId="5">
    <queryTableFields count="4">
      <queryTableField id="1" name="area" tableColumnId="1"/>
      <queryTableField id="2" name="dementia_group" tableColumnId="2"/>
      <queryTableField id="3" name="rated_homes" tableColumnId="3"/>
      <queryTableField id="4" name="pct_good_or_outstanding" tableColumnId="4"/>
    </queryTableFields>
  </queryTableRefresh>
</queryTable>
</file>

<file path=xl/queryTables/queryTable4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connectionId="8" xr16:uid="{5801CDD3-2BFD-4DB5-8495-76D24CCF77A4}" autoFormatId="16" applyNumberFormats="0" applyBorderFormats="0" applyFontFormats="0" applyPatternFormats="0" applyAlignmentFormats="0" applyWidthHeightFormats="0">
  <queryTableRefresh nextId="4">
    <queryTableFields count="3">
      <queryTableField id="1" name="provider_band" tableColumnId="1"/>
      <queryTableField id="2" name="rated_homes" tableColumnId="2"/>
      <queryTableField id="3" name="pct_good_or_outstanding" tableColumnId="3"/>
    </queryTableFields>
  </queryTableRefresh>
</queryTable>
</file>

<file path=xl/queryTables/queryTable5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connectionId="6" xr16:uid="{E54D4EA9-73DB-43C4-9716-6A40149BC781}" autoFormatId="16" applyNumberFormats="0" applyBorderFormats="0" applyFontFormats="0" applyPatternFormats="0" applyAlignmentFormats="0" applyWidthHeightFormats="0">
  <queryTableRefresh nextId="12">
    <queryTableFields count="11">
      <queryTableField id="1" name="below_good_homes" tableColumnId="1"/>
      <queryTableField id="2" name="safe_fail" tableColumnId="2"/>
      <queryTableField id="3" name="effective_fail" tableColumnId="3"/>
      <queryTableField id="4" name="caring_fail" tableColumnId="4"/>
      <queryTableField id="5" name="responsive_fail" tableColumnId="5"/>
      <queryTableField id="6" name="well_led_fail" tableColumnId="6"/>
      <queryTableField id="7" name="safe_fail_pct" tableColumnId="7"/>
      <queryTableField id="8" name="effective_fail_pct" tableColumnId="8"/>
      <queryTableField id="9" name="caring_fail_pct" tableColumnId="9"/>
      <queryTableField id="10" name="responsive_fail_pct" tableColumnId="10"/>
      <queryTableField id="11" name="well_led_fail_pct" tableColumnId="11"/>
    </queryTableFields>
  </queryTableRefresh>
</queryTable>
</file>

<file path=xl/queryTables/queryTable6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connectionId="5" xr16:uid="{748242E3-EF9D-417A-8284-6F56551F20B4}" autoFormatId="16" applyNumberFormats="0" applyBorderFormats="0" applyFontFormats="0" applyPatternFormats="0" applyAlignmentFormats="0" applyWidthHeightFormats="0">
  <queryTableRefresh nextId="4">
    <queryTableFields count="3">
      <queryTableField id="1" name="size_band" tableColumnId="1"/>
      <queryTableField id="2" name="rated_homes" tableColumnId="2"/>
      <queryTableField id="3" name="pct_good_or_outstanding" tableColumnId="3"/>
    </queryTableFields>
  </queryTableRefresh>
</queryTable>
</file>

<file path=xl/queryTables/queryTable7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connectionId="4" xr16:uid="{62861612-EC20-42F4-B583-E75925277BCF}" autoFormatId="16" applyNumberFormats="0" applyBorderFormats="0" applyFontFormats="0" applyPatternFormats="0" applyAlignmentFormats="0" applyWidthHeightFormats="0">
  <queryTableRefresh nextId="5">
    <queryTableFields count="4">
      <queryTableField id="1" name="area" tableColumnId="1"/>
      <queryTableField id="2" name="home_type" tableColumnId="2"/>
      <queryTableField id="3" name="rated_homes" tableColumnId="3"/>
      <queryTableField id="4" name="pct_good_or_outstanding" tableColumnId="4"/>
    </queryTableFields>
  </queryTableRefresh>
</queryTable>
</file>

<file path=xl/queryTables/queryTable8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connectionId="3" xr16:uid="{D5CB5E9B-C4EA-4FEB-9735-2C0AE676741F}" autoFormatId="16" applyNumberFormats="0" applyBorderFormats="0" applyFontFormats="0" applyPatternFormats="0" applyAlignmentFormats="0" applyWidthHeightFormats="0">
  <queryTableRefresh nextId="5">
    <queryTableFields count="4">
      <queryTableField id="1" name="region" tableColumnId="1"/>
      <queryTableField id="2" name="rated_homes" tableColumnId="2"/>
      <queryTableField id="3" name="pct_good_or_outstanding" tableColumnId="3"/>
      <queryTableField id="4" name="rank_position" tableColumnId="4"/>
    </queryTableFields>
  </queryTableRefresh>
</queryTable>
</file>

<file path=xl/queryTables/queryTable9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connectionId="2" xr16:uid="{B8D3E60C-4C1E-45E6-8073-9D0FCA56BA25}" autoFormatId="16" applyNumberFormats="0" applyBorderFormats="0" applyFontFormats="0" applyPatternFormats="0" applyAlignmentFormats="0" applyWidthHeightFormats="0">
  <queryTableRefresh nextId="6">
    <queryTableFields count="5">
      <queryTableField id="1" name="overall" tableColumnId="1"/>
      <queryTableField id="2" name="england_homes" tableColumnId="2"/>
      <queryTableField id="3" name="england_pct" tableColumnId="3"/>
      <queryTableField id="4" name="wsx_homes" tableColumnId="4"/>
      <queryTableField id="5" name="wsx_pct" tableColumnId="5"/>
    </queryTableFields>
  </queryTableRefresh>
</queryTable>
</file>

<file path=xl/queryTables/queryTable10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connectionId="1" xr16:uid="{BF5DA2BE-2DC1-4789-BD70-20C0CA6B3F09}" autoFormatId="16" applyNumberFormats="0" applyBorderFormats="0" applyFontFormats="0" applyPatternFormats="0" applyAlignmentFormats="0" applyWidthHeightFormats="0">
  <queryTableRefresh nextId="4">
    <queryTableFields count="3">
      <queryTableField id="1" name="area" tableColumnId="1"/>
      <queryTableField id="2" name="rated_homes" tableColumnId="2"/>
      <queryTableField id="3" name="pct_good_or_outstanding" tableColumnId="3"/>
    </queryTableFields>
  </queryTableRefresh>
</queryTable>
</file>

<file path=xl/queryTables/queryTable1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connectionId="10" xr16:uid="{32B33ECD-78E4-40D4-9251-DF9E74208CF7}" autoFormatId="16" applyNumberFormats="0" applyBorderFormats="0" applyFontFormats="0" applyPatternFormats="0" applyAlignmentFormats="0" applyWidthHeightFormats="0">
  <queryTableRefresh nextId="4">
    <queryTableFields count="3">
      <queryTableField id="1" name="rated_homes" tableColumnId="1"/>
      <queryTableField id="2" name="older_than_2y" tableColumnId="2"/>
      <queryTableField id="3" name="pct_older_than_2y" tableColumnId="3"/>
    </queryTableFields>
  </queryTableRefresh>
</queryTable>
</file>

<file path=xl/queryTables/queryTable12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connectionId="7" xr16:uid="{1BFA2FB1-B49A-4904-8461-F7D17837F78B}" autoFormatId="16" applyNumberFormats="0" applyBorderFormats="0" applyFontFormats="0" applyPatternFormats="0" applyAlignmentFormats="0" applyWidthHeightFormats="0">
  <queryTableRefresh nextId="14">
    <queryTableFields count="2">
      <queryTableField id="12" name="Key question" tableColumnId="1"/>
      <queryTableField id="13" name="Pct failing" tableColumnId="2"/>
    </queryTableFields>
  </queryTableRefresh>
</queryTable>
</file>

<file path=xl/tables/_rels/table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_rels/table2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2.xml"/></Relationships>
</file>

<file path=xl/tables/_rels/table3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3.xml"/></Relationships>
</file>

<file path=xl/tables/_rels/table4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4.xml"/></Relationships>
</file>

<file path=xl/tables/_rels/table5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5.xml"/></Relationships>
</file>

<file path=xl/tables/_rels/table6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6.xml"/></Relationships>
</file>

<file path=xl/tables/_rels/table7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7.xml"/></Relationships>
</file>

<file path=xl/tables/_rels/table8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8.xml"/></Relationships>
</file>

<file path=xl/tables/_rels/table9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9.xml"/></Relationships>
</file>

<file path=xl/tables/_rels/table10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0.xml"/></Relationships>
</file>

<file path=xl/tables/_rels/table1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1.xml"/></Relationships>
</file>

<file path=xl/tables/_rels/table12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2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2D7DE06B-63AC-4851-A404-61407571EFA8}" name="q9_la_vs_region" displayName="q9_la_vs_region" ref="A1:F141" tableType="queryTable" totalsRowShown="0">
  <autoFilter ref="A1:F141" xr:uid="{2D7DE06B-63AC-4851-A404-61407571EFA8}"/>
  <tableColumns count="6">
    <tableColumn id="1" xr3:uid="{ABBF269D-5C40-408F-91DB-D0A53CD94DE2}" uniqueName="1" name="region" queryTableFieldId="1" dataDxfId="16"/>
    <tableColumn id="2" xr3:uid="{0B1A1E59-97AF-4BFC-9050-63FF64D3FC7A}" uniqueName="2" name="local_authority" queryTableFieldId="2" dataDxfId="15"/>
    <tableColumn id="3" xr3:uid="{955E15B2-B3FC-451F-97BD-E2E731AC33B1}" uniqueName="3" name="rated_homes" queryTableFieldId="3"/>
    <tableColumn id="4" xr3:uid="{F877E150-F211-4813-9A4C-5252FA78E0DF}" uniqueName="4" name="la_pct" queryTableFieldId="4"/>
    <tableColumn id="5" xr3:uid="{ABE38A8B-03D6-45DD-904D-E174BAA01E44}" uniqueName="5" name="region_pct" queryTableFieldId="5"/>
    <tableColumn id="6" xr3:uid="{064E9A3A-2654-4CF7-B68D-4B87F28B21AA}" uniqueName="6" name="gap" queryTableFieldId="6"/>
  </tableColumns>
  <tableStyleInfo name="TableStyleMedium7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779B1941-2C59-4484-95E0-9ECDEB0A5C3A}" name="q8_rating_age_step_2" displayName="q8_rating_age_step_2" ref="A1:C3" tableType="queryTable" totalsRowShown="0">
  <autoFilter ref="A1:C3" xr:uid="{779B1941-2C59-4484-95E0-9ECDEB0A5C3A}"/>
  <tableColumns count="3">
    <tableColumn id="1" xr3:uid="{A819A0D9-4486-4955-B61F-BBEAF231FBEB}" uniqueName="1" name="rating_age_band" queryTableFieldId="1" dataDxfId="14"/>
    <tableColumn id="2" xr3:uid="{8926B67C-C894-4548-8D5B-85AA6203D079}" uniqueName="2" name="rated_homes" queryTableFieldId="2"/>
    <tableColumn id="3" xr3:uid="{72BF05C0-F1CE-4520-8FAA-2A8E15AC4411}" uniqueName="3" name="pct_good_or_outstanding" queryTableFieldId="3"/>
  </tableColumns>
  <tableStyleInfo name="TableStyleMedium7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1527F82B-14A2-4BFB-BFBA-6A5C777532AF}" name="q7_dementia" displayName="q7_dementia" ref="A1:D5" tableType="queryTable" totalsRowShown="0">
  <autoFilter ref="A1:D5" xr:uid="{1527F82B-14A2-4BFB-BFBA-6A5C777532AF}"/>
  <tableColumns count="4">
    <tableColumn id="1" xr3:uid="{0901AFDD-14EE-4420-B478-E960FC5615E4}" uniqueName="1" name="area" queryTableFieldId="1" dataDxfId="13"/>
    <tableColumn id="2" xr3:uid="{A380888A-12BD-4748-AA87-5B732B7FF5C7}" uniqueName="2" name="dementia_group" queryTableFieldId="2" dataDxfId="12"/>
    <tableColumn id="3" xr3:uid="{B51D98BE-907E-4D75-B95D-B41CAC66E2B8}" uniqueName="3" name="rated_homes" queryTableFieldId="3"/>
    <tableColumn id="4" xr3:uid="{A36FDDAB-FFD3-42F2-B352-F3B12719C7D1}" uniqueName="4" name="pct_good_or_outstanding" queryTableFieldId="4"/>
  </tableColumns>
  <tableStyleInfo name="TableStyleMedium7" showFirstColumn="0" showLastColumn="0" showRowStripes="1" showColumnStripes="0"/>
</table>
</file>

<file path=xl/tables/table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" xr:uid="{0C0C27EB-E5BE-4FF2-8E16-8DEE0B618507}" name="q6_provider_size" displayName="q6_provider_size" ref="A1:C5" tableType="queryTable" totalsRowShown="0">
  <autoFilter ref="A1:C5" xr:uid="{0C0C27EB-E5BE-4FF2-8E16-8DEE0B618507}"/>
  <tableColumns count="3">
    <tableColumn id="1" xr3:uid="{51684E9C-E16D-4571-BA7A-8DDCE3E8DAB4}" uniqueName="1" name="provider_band" queryTableFieldId="1" dataDxfId="11"/>
    <tableColumn id="2" xr3:uid="{08D558DD-18CD-4F51-8BC0-C9E0E8CE3ED8}" uniqueName="2" name="rated_homes" queryTableFieldId="2"/>
    <tableColumn id="3" xr3:uid="{2A7EB287-8E9B-48EE-AE1E-0F5353852D41}" uniqueName="3" name="pct_good_or_outstanding" queryTableFieldId="3"/>
  </tableColumns>
  <tableStyleInfo name="TableStyleMedium7" showFirstColumn="0" showLastColumn="0" showRowStripes="1" showColumnStripes="0"/>
</table>
</file>

<file path=xl/tables/table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5" xr:uid="{14DB703F-0D71-4BBC-ABB4-65C26770D481}" name="q5_key_question_fails" displayName="q5_key_question_fails" ref="A1:K2" tableType="queryTable" totalsRowShown="0">
  <autoFilter ref="A1:K2" xr:uid="{14DB703F-0D71-4BBC-ABB4-65C26770D481}"/>
  <tableColumns count="11">
    <tableColumn id="1" xr3:uid="{60D36A67-2F68-47B8-98DB-06D2BF39EB9F}" uniqueName="1" name="below_good_homes" queryTableFieldId="1"/>
    <tableColumn id="2" xr3:uid="{D93ADDD9-BE4C-49E4-B0F8-5AD976B631B0}" uniqueName="2" name="safe_fail" queryTableFieldId="2"/>
    <tableColumn id="3" xr3:uid="{2272BB42-35AB-423B-AF63-8CB24A51D494}" uniqueName="3" name="effective_fail" queryTableFieldId="3"/>
    <tableColumn id="4" xr3:uid="{3108AFD3-90DD-4190-B191-4ADC3827B92F}" uniqueName="4" name="caring_fail" queryTableFieldId="4"/>
    <tableColumn id="5" xr3:uid="{3F1F5F42-4A85-425F-A049-46598200F5D7}" uniqueName="5" name="responsive_fail" queryTableFieldId="5"/>
    <tableColumn id="6" xr3:uid="{3C6DD45A-9798-4371-B3E6-B9FF5B49087B}" uniqueName="6" name="well_led_fail" queryTableFieldId="6"/>
    <tableColumn id="7" xr3:uid="{0C61CAC9-6BAA-4470-9B81-DCFFD18157A7}" uniqueName="7" name="safe_fail_pct" queryTableFieldId="7"/>
    <tableColumn id="8" xr3:uid="{2FCE601F-DA0F-43F7-921E-191F88E60838}" uniqueName="8" name="effective_fail_pct" queryTableFieldId="8"/>
    <tableColumn id="9" xr3:uid="{F35E2C9E-FED3-4EED-ADFE-BE0856837D9C}" uniqueName="9" name="caring_fail_pct" queryTableFieldId="9"/>
    <tableColumn id="10" xr3:uid="{5CE6D3E4-A1AF-4764-B5C2-420BF80ADB81}" uniqueName="10" name="responsive_fail_pct" queryTableFieldId="10"/>
    <tableColumn id="11" xr3:uid="{D1C96B54-94CD-44B8-BF0F-271A1D8A9757}" uniqueName="11" name="well_led_fail_pct" queryTableFieldId="11"/>
  </tableColumns>
  <tableStyleInfo name="TableStyleMedium7" showFirstColumn="0" showLastColumn="0" showRowStripes="1" showColumnStripes="0"/>
</table>
</file>

<file path=xl/tables/table6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6" xr:uid="{F97904D3-9C63-4176-A2B0-D0E0C1D72B28}" name="q4_size_bands" displayName="q4_size_bands" ref="A1:C6" tableType="queryTable" totalsRowShown="0">
  <autoFilter ref="A1:C6" xr:uid="{F97904D3-9C63-4176-A2B0-D0E0C1D72B28}"/>
  <tableColumns count="3">
    <tableColumn id="1" xr3:uid="{D1D15E18-443F-452F-B1F8-F3F51690AE9D}" uniqueName="1" name="size_band" queryTableFieldId="1" dataDxfId="10"/>
    <tableColumn id="2" xr3:uid="{84775EC8-4A44-42F9-88DE-7ACD0B3CFF22}" uniqueName="2" name="rated_homes" queryTableFieldId="2"/>
    <tableColumn id="3" xr3:uid="{1DCBAA69-8DC6-4999-BA28-D069F752F850}" uniqueName="3" name="pct_good_or_outstanding" queryTableFieldId="3"/>
  </tableColumns>
  <tableStyleInfo name="TableStyleMedium7" showFirstColumn="0" showLastColumn="0" showRowStripes="1" showColumnStripes="0"/>
</table>
</file>

<file path=xl/tables/table7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7" xr:uid="{72B7E22C-45EC-4FAF-86B7-A830731BC59C}" name="q3_nursing_vs_residential" displayName="q3_nursing_vs_residential" ref="A1:D5" tableType="queryTable" totalsRowShown="0">
  <autoFilter ref="A1:D5" xr:uid="{72B7E22C-45EC-4FAF-86B7-A830731BC59C}"/>
  <tableColumns count="4">
    <tableColumn id="1" xr3:uid="{FF083C37-F998-4A46-AF4A-6A55F5A57824}" uniqueName="1" name="area" queryTableFieldId="1" dataDxfId="9"/>
    <tableColumn id="2" xr3:uid="{E06D3050-E200-45A3-8A4D-1A0AD43CBDFF}" uniqueName="2" name="home_type" queryTableFieldId="2" dataDxfId="8"/>
    <tableColumn id="3" xr3:uid="{2E1A0A1C-5DB2-47F4-96A9-AA221441D3A9}" uniqueName="3" name="rated_homes" queryTableFieldId="3"/>
    <tableColumn id="4" xr3:uid="{1BA98986-6979-4100-A918-8BC3AB7CB455}" uniqueName="4" name="pct_good_or_outstanding" queryTableFieldId="4"/>
  </tableColumns>
  <tableStyleInfo name="TableStyleMedium7" showFirstColumn="0" showLastColumn="0" showRowStripes="1" showColumnStripes="0"/>
</table>
</file>

<file path=xl/tables/table8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8" xr:uid="{9709E10C-C276-4763-8EDD-6CDAA9E40829}" name="q2c_region_rank" displayName="q2c_region_rank" ref="A1:D10" tableType="queryTable" totalsRowShown="0">
  <autoFilter ref="A1:D10" xr:uid="{9709E10C-C276-4763-8EDD-6CDAA9E40829}"/>
  <tableColumns count="4">
    <tableColumn id="1" xr3:uid="{954FF3BE-3302-4980-B177-41E4C4F8389F}" uniqueName="1" name="region" queryTableFieldId="1" dataDxfId="7"/>
    <tableColumn id="2" xr3:uid="{BC9F1E90-A96A-4C77-B237-B3E81D354F36}" uniqueName="2" name="rated_homes" queryTableFieldId="2"/>
    <tableColumn id="3" xr3:uid="{0BC559F2-2E2B-445A-AE6B-E811CCBE1915}" uniqueName="3" name="pct_good_or_outstanding" queryTableFieldId="3"/>
    <tableColumn id="4" xr3:uid="{FD11B5D6-7A12-4C9F-A99D-19DAFEF2FD8C}" uniqueName="4" name="rank_position" queryTableFieldId="4"/>
  </tableColumns>
  <tableStyleInfo name="TableStyleMedium7" showFirstColumn="0" showLastColumn="0" showRowStripes="1" showColumnStripes="0"/>
</table>
</file>

<file path=xl/tables/table9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9" xr:uid="{9C94E2BB-18AB-49B4-A71D-66D64EE91A8E}" name="q1b_rating_distribution" displayName="q1b_rating_distribution" ref="A1:E5" tableType="queryTable" totalsRowShown="0">
  <autoFilter ref="A1:E5" xr:uid="{9C94E2BB-18AB-49B4-A71D-66D64EE91A8E}"/>
  <tableColumns count="5">
    <tableColumn id="1" xr3:uid="{25B80F42-82E0-4B09-83F8-1CA77656C39F}" uniqueName="1" name="overall" queryTableFieldId="1" dataDxfId="6"/>
    <tableColumn id="2" xr3:uid="{1F77EE4D-BF99-4DA0-829F-293423A2028F}" uniqueName="2" name="england_homes" queryTableFieldId="2"/>
    <tableColumn id="3" xr3:uid="{8BEA9D92-1294-4505-85E3-C248E7BB45A7}" uniqueName="3" name="england_pct" queryTableFieldId="3"/>
    <tableColumn id="4" xr3:uid="{311F4A76-0322-480E-BEEA-EB61885DAC45}" uniqueName="4" name="wsx_homes" queryTableFieldId="4"/>
    <tableColumn id="5" xr3:uid="{7BD1307D-14FA-4B2A-A696-1E03E9D09784}" uniqueName="5" name="wsx_pct" queryTableFieldId="5"/>
  </tableColumns>
  <tableStyleInfo name="TableStyleMedium7" showFirstColumn="0" showLastColumn="0" showRowStripes="1" showColumnStripes="0"/>
</table>
</file>

<file path=xl/tables/table10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0" xr:uid="{FD537F8C-56CB-4C7C-96B5-D4C7496D403D}" name="q1_good_or_outstanding" displayName="q1_good_or_outstanding" ref="A1:C3" tableType="queryTable" totalsRowShown="0">
  <autoFilter ref="A1:C3" xr:uid="{FD537F8C-56CB-4C7C-96B5-D4C7496D403D}"/>
  <tableColumns count="3">
    <tableColumn id="1" xr3:uid="{B67C6BE5-01F9-4286-B079-2EE3F5AEF427}" uniqueName="1" name="area" queryTableFieldId="1" dataDxfId="5"/>
    <tableColumn id="2" xr3:uid="{872432D5-4EC8-4397-8C57-B43780D01B9A}" uniqueName="2" name="rated_homes" queryTableFieldId="2"/>
    <tableColumn id="3" xr3:uid="{E6A5BED8-D762-469B-85BB-C8B797BE7FAC}" uniqueName="3" name="pct_good_or_outstanding" queryTableFieldId="3"/>
  </tableColumns>
  <tableStyleInfo name="TableStyleMedium7" showFirstColumn="0" showLastColumn="0" showRowStripes="1" showColumnStripes="0"/>
</table>
</file>

<file path=xl/tables/table1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2" xr:uid="{7FF525E6-C66C-4509-A871-3588B046C2AA}" name="q8_rating_age_step_1" displayName="q8_rating_age_step_1" ref="A1:C2" tableType="queryTable" totalsRowShown="0">
  <autoFilter ref="A1:C2" xr:uid="{7FF525E6-C66C-4509-A871-3588B046C2AA}"/>
  <tableColumns count="3">
    <tableColumn id="1" xr3:uid="{5A2B7075-44E3-4F56-8BB1-A1CFB02A081D}" uniqueName="1" name="rated_homes" queryTableFieldId="1"/>
    <tableColumn id="2" xr3:uid="{F35E1302-F314-451C-8D4B-7AA863D0CD4B}" uniqueName="2" name="older_than_2y" queryTableFieldId="2"/>
    <tableColumn id="3" xr3:uid="{FD23EB2B-7481-4E9A-B978-8D21E94C32F8}" uniqueName="3" name="pct_older_than_2y" queryTableFieldId="3"/>
  </tableColumns>
  <tableStyleInfo name="TableStyleMedium7" showFirstColumn="0" showLastColumn="0" showRowStripes="1" showColumnStripes="0"/>
</table>
</file>

<file path=xl/tables/table1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1" xr:uid="{5F40E526-53E3-44CA-BE0A-8219F691DA85}" name="q5_long" displayName="q5_long" ref="A1:B6" tableType="queryTable" totalsRowShown="0">
  <autoFilter ref="A1:B6" xr:uid="{14DB703F-0D71-4BBC-ABB4-65C26770D481}"/>
  <tableColumns count="2">
    <tableColumn id="1" xr3:uid="{AB481C54-CBA0-4BD4-9227-2E8FB5C4BCBF}" uniqueName="1" name="Key question" queryTableFieldId="12" dataDxfId="4"/>
    <tableColumn id="2" xr3:uid="{3418796D-270B-4DDA-9348-FCD454C8C23D}" uniqueName="2" name="Pct failing" queryTableFieldId="13"/>
  </tableColumns>
  <tableStyleInfo name="TableStyleMedium7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table" Target="../tables/table3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table" Target="../tables/table4.xm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table" Target="../tables/table5.xml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table" Target="../tables/table6.xml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table" Target="../tables/table7.xml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table" Target="../tables/table8.xml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table" Target="../tables/table9.xml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0.xml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1.xml"/></Relationships>
</file>

<file path=xl/worksheets/_rels/sheet14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4F70C06-49CB-4BF5-AA84-63D2B1F8EAD1}">
  <dimension ref="B1:L113"/>
  <sheetViews>
    <sheetView showGridLines="0" tabSelected="1" zoomScale="60" zoomScaleNormal="60" workbookViewId="0">
      <selection activeCell="P50" sqref="P50"/>
    </sheetView>
  </sheetViews>
  <sheetFormatPr defaultRowHeight="15" x14ac:dyDescent="0.25"/>
  <cols>
    <col min="2" max="2" width="41" customWidth="1"/>
    <col min="3" max="3" width="23.5703125" customWidth="1"/>
    <col min="4" max="4" width="40.5703125" customWidth="1"/>
    <col min="5" max="5" width="19.28515625" customWidth="1"/>
    <col min="6" max="6" width="40.5703125" customWidth="1"/>
    <col min="7" max="7" width="28.42578125" customWidth="1"/>
    <col min="8" max="8" width="46.42578125" customWidth="1"/>
    <col min="9" max="9" width="18.7109375" customWidth="1"/>
    <col min="10" max="10" width="40.5703125" customWidth="1"/>
    <col min="11" max="11" width="13.28515625" customWidth="1"/>
  </cols>
  <sheetData>
    <row r="1" spans="2:10" ht="66" customHeight="1" x14ac:dyDescent="0.55000000000000004">
      <c r="B1" s="20" t="s">
        <v>203</v>
      </c>
    </row>
    <row r="2" spans="2:10" ht="44.25" customHeight="1" x14ac:dyDescent="0.3">
      <c r="B2" s="1" t="s">
        <v>161</v>
      </c>
      <c r="D2" s="2" t="s">
        <v>65</v>
      </c>
      <c r="F2" s="1" t="s">
        <v>14</v>
      </c>
      <c r="H2" s="1" t="s">
        <v>201</v>
      </c>
      <c r="J2" s="1" t="s">
        <v>202</v>
      </c>
    </row>
    <row r="3" spans="2:10" ht="34.5" x14ac:dyDescent="0.55000000000000004">
      <c r="B3" s="3">
        <f>_xlfn.XLOOKUP("England", q1_good_or_outstanding[area], q1_good_or_outstanding[pct_good_or_outstanding])</f>
        <v>82.6</v>
      </c>
      <c r="D3" s="4">
        <f>_xlfn.XLOOKUP("west sussex", q1_good_or_outstanding[area], q1_good_or_outstanding[pct_good_or_outstanding])</f>
        <v>84.1</v>
      </c>
      <c r="F3" s="3">
        <f>_xlfn.XLOOKUP("South East", q2c_region_rank[region], q2c_region_rank[pct_good_or_outstanding])</f>
        <v>81.900000000000006</v>
      </c>
      <c r="H3" s="18">
        <f>_xlfn.XLOOKUP("west sussex",q9_la_vs_region[local_authority],q9_la_vs_region[gap])</f>
        <v>2.2000000000000002</v>
      </c>
      <c r="J3" s="3" cm="1">
        <f t="array" ref="J3">q8_rating_age_step_1[pct_older_than_2y]</f>
        <v>72.900000000000006</v>
      </c>
    </row>
    <row r="4" spans="2:10" s="25" customFormat="1" ht="18.75" x14ac:dyDescent="0.3">
      <c r="B4" s="24">
        <f>_xlfn.XLOOKUP("England", q1_good_or_outstanding[area], q1_good_or_outstanding[rated_homes])</f>
        <v>13448</v>
      </c>
      <c r="D4" s="26">
        <f>_xlfn.XLOOKUP("west sussex", q1_good_or_outstanding[area], q1_good_or_outstanding[rated_homes])</f>
        <v>315</v>
      </c>
      <c r="F4" s="24">
        <f>_xlfn.XLOOKUP("South East", q2c_region_rank[region], q2c_region_rank[rated_homes])</f>
        <v>2530</v>
      </c>
      <c r="H4" s="27">
        <f>_xlfn.XMATCH("west sussex",q9_la_vs_region[local_authority])</f>
        <v>51</v>
      </c>
      <c r="J4" s="28" cm="1">
        <f t="array" ref="J4">q8_rating_age_step_1[older_than_2y]</f>
        <v>9809</v>
      </c>
    </row>
    <row r="57" spans="7:12" ht="18.75" x14ac:dyDescent="0.3">
      <c r="G57" s="8" t="s">
        <v>224</v>
      </c>
    </row>
    <row r="59" spans="7:12" x14ac:dyDescent="0.25">
      <c r="G59" s="6" t="s">
        <v>217</v>
      </c>
      <c r="H59" s="6" t="s">
        <v>14</v>
      </c>
    </row>
    <row r="61" spans="7:12" x14ac:dyDescent="0.25">
      <c r="G61" s="29" t="s">
        <v>218</v>
      </c>
      <c r="H61" s="30" t="s">
        <v>219</v>
      </c>
      <c r="I61" s="22" t="s">
        <v>220</v>
      </c>
      <c r="J61" s="22" t="s">
        <v>221</v>
      </c>
      <c r="K61" s="22" t="s">
        <v>222</v>
      </c>
      <c r="L61" s="23" t="s">
        <v>223</v>
      </c>
    </row>
    <row r="62" spans="7:12" x14ac:dyDescent="0.25">
      <c r="G62" t="str" cm="1">
        <f t="array" ref="G62:L78">_xlfn._xlws.FILTER(q9_la_vs_region[], q9_la_vs_region[region]=H59)</f>
        <v>South East</v>
      </c>
      <c r="H62" t="str">
        <v>Wokingham</v>
      </c>
      <c r="I62">
        <v>42</v>
      </c>
      <c r="J62">
        <v>92.9</v>
      </c>
      <c r="K62">
        <v>81.900000000000006</v>
      </c>
      <c r="L62" s="7">
        <v>11</v>
      </c>
    </row>
    <row r="63" spans="7:12" x14ac:dyDescent="0.25">
      <c r="G63" t="str">
        <v>South East</v>
      </c>
      <c r="H63" t="str">
        <v>Brighton and Hove</v>
      </c>
      <c r="I63">
        <v>82</v>
      </c>
      <c r="J63">
        <v>91.5</v>
      </c>
      <c r="K63">
        <v>81.900000000000006</v>
      </c>
      <c r="L63" s="7">
        <v>9.6</v>
      </c>
    </row>
    <row r="64" spans="7:12" x14ac:dyDescent="0.25">
      <c r="G64" t="str">
        <v>South East</v>
      </c>
      <c r="H64" t="str">
        <v>West Berkshire</v>
      </c>
      <c r="I64">
        <v>39</v>
      </c>
      <c r="J64">
        <v>89.7</v>
      </c>
      <c r="K64">
        <v>81.900000000000006</v>
      </c>
      <c r="L64" s="7">
        <v>7.8</v>
      </c>
    </row>
    <row r="65" spans="7:12" x14ac:dyDescent="0.25">
      <c r="G65" t="str">
        <v>South East</v>
      </c>
      <c r="H65" t="str">
        <v>Milton Keynes</v>
      </c>
      <c r="I65">
        <v>42</v>
      </c>
      <c r="J65">
        <v>88.1</v>
      </c>
      <c r="K65">
        <v>81.900000000000006</v>
      </c>
      <c r="L65" s="7">
        <v>6.2</v>
      </c>
    </row>
    <row r="66" spans="7:12" x14ac:dyDescent="0.25">
      <c r="G66" t="str">
        <v>South East</v>
      </c>
      <c r="H66" t="str">
        <v>Oxfordshire</v>
      </c>
      <c r="I66">
        <v>122</v>
      </c>
      <c r="J66">
        <v>87.7</v>
      </c>
      <c r="K66">
        <v>81.900000000000006</v>
      </c>
      <c r="L66" s="7">
        <v>5.8</v>
      </c>
    </row>
    <row r="67" spans="7:12" x14ac:dyDescent="0.25">
      <c r="G67" t="str">
        <v>South East</v>
      </c>
      <c r="H67" t="str">
        <v>East Sussex</v>
      </c>
      <c r="I67">
        <v>271</v>
      </c>
      <c r="J67">
        <v>84.9</v>
      </c>
      <c r="K67">
        <v>81.900000000000006</v>
      </c>
      <c r="L67" s="7">
        <v>3</v>
      </c>
    </row>
    <row r="68" spans="7:12" x14ac:dyDescent="0.25">
      <c r="G68" t="str">
        <v>South East</v>
      </c>
      <c r="H68" t="str">
        <v>Hampshire</v>
      </c>
      <c r="I68">
        <v>428</v>
      </c>
      <c r="J68">
        <v>84.6</v>
      </c>
      <c r="K68">
        <v>81.900000000000006</v>
      </c>
      <c r="L68" s="7">
        <v>2.7</v>
      </c>
    </row>
    <row r="69" spans="7:12" x14ac:dyDescent="0.25">
      <c r="G69" t="str">
        <v>South East</v>
      </c>
      <c r="H69" t="str">
        <v>West Sussex</v>
      </c>
      <c r="I69">
        <v>315</v>
      </c>
      <c r="J69">
        <v>84.1</v>
      </c>
      <c r="K69">
        <v>81.900000000000006</v>
      </c>
      <c r="L69" s="7">
        <v>2.2000000000000002</v>
      </c>
    </row>
    <row r="70" spans="7:12" x14ac:dyDescent="0.25">
      <c r="G70" t="str">
        <v>South East</v>
      </c>
      <c r="H70" t="str">
        <v>Southampton</v>
      </c>
      <c r="I70">
        <v>47</v>
      </c>
      <c r="J70">
        <v>83</v>
      </c>
      <c r="K70">
        <v>81.900000000000006</v>
      </c>
      <c r="L70" s="7">
        <v>1.1000000000000001</v>
      </c>
    </row>
    <row r="71" spans="7:12" x14ac:dyDescent="0.25">
      <c r="G71" t="str">
        <v>South East</v>
      </c>
      <c r="H71" t="str">
        <v>Surrey</v>
      </c>
      <c r="I71">
        <v>331</v>
      </c>
      <c r="J71">
        <v>81.3</v>
      </c>
      <c r="K71">
        <v>81.900000000000006</v>
      </c>
      <c r="L71" s="7">
        <v>-0.6</v>
      </c>
    </row>
    <row r="72" spans="7:12" x14ac:dyDescent="0.25">
      <c r="G72" t="str">
        <v>South East</v>
      </c>
      <c r="H72" t="str">
        <v>Kent</v>
      </c>
      <c r="I72">
        <v>456</v>
      </c>
      <c r="J72">
        <v>78.900000000000006</v>
      </c>
      <c r="K72">
        <v>81.900000000000006</v>
      </c>
      <c r="L72" s="7">
        <v>-3</v>
      </c>
    </row>
    <row r="73" spans="7:12" x14ac:dyDescent="0.25">
      <c r="G73" t="str">
        <v>South East</v>
      </c>
      <c r="H73" t="str">
        <v>Reading</v>
      </c>
      <c r="I73">
        <v>29</v>
      </c>
      <c r="J73">
        <v>75.900000000000006</v>
      </c>
      <c r="K73">
        <v>81.900000000000006</v>
      </c>
      <c r="L73" s="7">
        <v>-6</v>
      </c>
    </row>
    <row r="74" spans="7:12" x14ac:dyDescent="0.25">
      <c r="G74" t="str">
        <v>South East</v>
      </c>
      <c r="H74" t="str">
        <v>Portsmouth</v>
      </c>
      <c r="I74">
        <v>29</v>
      </c>
      <c r="J74">
        <v>72.400000000000006</v>
      </c>
      <c r="K74">
        <v>81.900000000000006</v>
      </c>
      <c r="L74" s="7">
        <v>-9.5</v>
      </c>
    </row>
    <row r="75" spans="7:12" x14ac:dyDescent="0.25">
      <c r="G75" t="str">
        <v>South East</v>
      </c>
      <c r="H75" t="str">
        <v>Buckinghamshire</v>
      </c>
      <c r="I75">
        <v>114</v>
      </c>
      <c r="J75">
        <v>71.900000000000006</v>
      </c>
      <c r="K75">
        <v>81.900000000000006</v>
      </c>
      <c r="L75" s="7">
        <v>-10</v>
      </c>
    </row>
    <row r="76" spans="7:12" x14ac:dyDescent="0.25">
      <c r="G76" t="str">
        <v>South East</v>
      </c>
      <c r="H76" t="str">
        <v>Windsor and Maidenhead</v>
      </c>
      <c r="I76">
        <v>35</v>
      </c>
      <c r="J76">
        <v>71.400000000000006</v>
      </c>
      <c r="K76">
        <v>81.900000000000006</v>
      </c>
      <c r="L76" s="7">
        <v>-10.5</v>
      </c>
    </row>
    <row r="77" spans="7:12" x14ac:dyDescent="0.25">
      <c r="G77" t="str">
        <v>South East</v>
      </c>
      <c r="H77" t="str">
        <v>Isle of Wight</v>
      </c>
      <c r="I77">
        <v>59</v>
      </c>
      <c r="J77">
        <v>71.2</v>
      </c>
      <c r="K77">
        <v>81.900000000000006</v>
      </c>
      <c r="L77" s="7">
        <v>-10.7</v>
      </c>
    </row>
    <row r="78" spans="7:12" x14ac:dyDescent="0.25">
      <c r="G78" t="str">
        <v>South East</v>
      </c>
      <c r="H78" t="str">
        <v>Medway</v>
      </c>
      <c r="I78">
        <v>60</v>
      </c>
      <c r="J78">
        <v>70</v>
      </c>
      <c r="K78">
        <v>81.900000000000006</v>
      </c>
      <c r="L78" s="7">
        <v>-11.9</v>
      </c>
    </row>
    <row r="82" spans="2:12" ht="31.5" x14ac:dyDescent="0.5">
      <c r="B82" s="19"/>
      <c r="C82" s="13"/>
      <c r="D82" s="13"/>
      <c r="E82" s="13"/>
      <c r="G82" s="13"/>
      <c r="H82" s="13"/>
      <c r="I82" s="13"/>
      <c r="J82" s="13"/>
      <c r="K82" s="13"/>
      <c r="L82" s="13"/>
    </row>
    <row r="83" spans="2:12" x14ac:dyDescent="0.25">
      <c r="B83" s="13"/>
      <c r="C83" s="13"/>
      <c r="D83" s="13"/>
      <c r="E83" s="13"/>
      <c r="G83" s="13"/>
      <c r="H83" s="13"/>
      <c r="I83" s="13"/>
      <c r="J83" s="13"/>
      <c r="K83" s="13"/>
      <c r="L83" s="13"/>
    </row>
    <row r="84" spans="2:12" x14ac:dyDescent="0.25">
      <c r="B84" s="13"/>
      <c r="C84" s="13"/>
      <c r="D84" s="13"/>
      <c r="E84" s="13"/>
      <c r="G84" s="13"/>
      <c r="H84" s="13"/>
      <c r="I84" s="13"/>
      <c r="J84" s="13"/>
      <c r="K84" s="13"/>
      <c r="L84" s="13"/>
    </row>
    <row r="85" spans="2:12" x14ac:dyDescent="0.25">
      <c r="B85" s="13"/>
      <c r="C85" s="13"/>
      <c r="D85" s="13"/>
      <c r="E85" s="13"/>
      <c r="G85" s="13"/>
      <c r="H85" s="13"/>
      <c r="I85" s="13"/>
      <c r="J85" s="13"/>
      <c r="K85" s="13"/>
      <c r="L85" s="13"/>
    </row>
    <row r="86" spans="2:12" x14ac:dyDescent="0.25">
      <c r="B86" s="13"/>
      <c r="C86" s="13"/>
      <c r="D86" s="13"/>
      <c r="E86" s="13"/>
      <c r="G86" s="13"/>
      <c r="H86" s="13"/>
      <c r="I86" s="13"/>
      <c r="J86" s="13"/>
      <c r="K86" s="13"/>
      <c r="L86" s="13"/>
    </row>
    <row r="87" spans="2:12" x14ac:dyDescent="0.25">
      <c r="B87" s="13"/>
      <c r="C87" s="13"/>
      <c r="D87" s="13"/>
      <c r="E87" s="13"/>
      <c r="G87" s="13"/>
      <c r="H87" s="13"/>
      <c r="I87" s="13"/>
      <c r="J87" s="13"/>
      <c r="K87" s="13"/>
      <c r="L87" s="13"/>
    </row>
    <row r="88" spans="2:12" ht="15.75" thickBot="1" x14ac:dyDescent="0.3">
      <c r="B88" s="13"/>
      <c r="C88" s="13"/>
      <c r="D88" s="13"/>
      <c r="E88" s="13"/>
      <c r="G88" s="13"/>
      <c r="H88" s="13"/>
      <c r="I88" s="13"/>
      <c r="J88" s="13"/>
      <c r="K88" s="13"/>
      <c r="L88" s="13"/>
    </row>
    <row r="89" spans="2:12" ht="31.5" x14ac:dyDescent="0.5">
      <c r="B89" s="9" t="s">
        <v>225</v>
      </c>
      <c r="C89" s="10"/>
      <c r="D89" s="10"/>
      <c r="E89" s="10"/>
      <c r="F89" s="10"/>
      <c r="G89" s="10"/>
      <c r="H89" s="10"/>
      <c r="I89" s="10"/>
      <c r="J89" s="10"/>
      <c r="K89" s="11"/>
    </row>
    <row r="90" spans="2:12" x14ac:dyDescent="0.25">
      <c r="B90" s="12"/>
      <c r="C90" s="13"/>
      <c r="D90" s="13"/>
      <c r="E90" s="13"/>
      <c r="F90" s="13"/>
      <c r="G90" s="13"/>
      <c r="H90" s="13"/>
      <c r="I90" s="13"/>
      <c r="J90" s="13"/>
      <c r="K90" s="14"/>
    </row>
    <row r="91" spans="2:12" x14ac:dyDescent="0.25">
      <c r="B91" s="12"/>
      <c r="C91" s="13"/>
      <c r="D91" s="13"/>
      <c r="E91" s="13"/>
      <c r="F91" s="13"/>
      <c r="G91" s="13"/>
      <c r="H91" s="13"/>
      <c r="I91" s="13"/>
      <c r="J91" s="13"/>
      <c r="K91" s="14"/>
    </row>
    <row r="92" spans="2:12" x14ac:dyDescent="0.25">
      <c r="B92" s="12"/>
      <c r="C92" s="13"/>
      <c r="D92" s="13"/>
      <c r="E92" s="13"/>
      <c r="F92" s="13"/>
      <c r="G92" s="13"/>
      <c r="H92" s="13"/>
      <c r="I92" s="13"/>
      <c r="J92" s="13"/>
      <c r="K92" s="14"/>
    </row>
    <row r="93" spans="2:12" x14ac:dyDescent="0.25">
      <c r="B93" s="12"/>
      <c r="C93" s="13"/>
      <c r="D93" s="13"/>
      <c r="E93" s="13"/>
      <c r="F93" s="13"/>
      <c r="G93" s="13"/>
      <c r="H93" s="13"/>
      <c r="I93" s="13"/>
      <c r="J93" s="13"/>
      <c r="K93" s="14"/>
    </row>
    <row r="94" spans="2:12" x14ac:dyDescent="0.25">
      <c r="B94" s="12"/>
      <c r="C94" s="13"/>
      <c r="D94" s="13"/>
      <c r="E94" s="13"/>
      <c r="F94" s="13"/>
      <c r="G94" s="13"/>
      <c r="H94" s="13"/>
      <c r="I94" s="13"/>
      <c r="J94" s="13"/>
      <c r="K94" s="14"/>
    </row>
    <row r="95" spans="2:12" x14ac:dyDescent="0.25">
      <c r="B95" s="12"/>
      <c r="C95" s="13"/>
      <c r="D95" s="13"/>
      <c r="E95" s="13"/>
      <c r="F95" s="13"/>
      <c r="G95" s="13"/>
      <c r="H95" s="13"/>
      <c r="I95" s="13"/>
      <c r="J95" s="13"/>
      <c r="K95" s="14"/>
    </row>
    <row r="96" spans="2:12" x14ac:dyDescent="0.25">
      <c r="B96" s="12"/>
      <c r="C96" s="13"/>
      <c r="D96" s="13"/>
      <c r="E96" s="13"/>
      <c r="F96" s="13"/>
      <c r="G96" s="13"/>
      <c r="H96" s="13"/>
      <c r="I96" s="13"/>
      <c r="J96" s="13"/>
      <c r="K96" s="14"/>
    </row>
    <row r="97" spans="2:11" x14ac:dyDescent="0.25">
      <c r="B97" s="12"/>
      <c r="C97" s="13"/>
      <c r="D97" s="13"/>
      <c r="E97" s="13"/>
      <c r="F97" s="13"/>
      <c r="G97" s="13"/>
      <c r="H97" s="13"/>
      <c r="I97" s="13"/>
      <c r="J97" s="13"/>
      <c r="K97" s="14"/>
    </row>
    <row r="98" spans="2:11" x14ac:dyDescent="0.25">
      <c r="B98" s="12"/>
      <c r="C98" s="13"/>
      <c r="D98" s="13"/>
      <c r="E98" s="13"/>
      <c r="F98" s="13"/>
      <c r="G98" s="13"/>
      <c r="H98" s="13"/>
      <c r="I98" s="13"/>
      <c r="J98" s="13"/>
      <c r="K98" s="14"/>
    </row>
    <row r="99" spans="2:11" x14ac:dyDescent="0.25">
      <c r="B99" s="12"/>
      <c r="C99" s="13"/>
      <c r="D99" s="13"/>
      <c r="E99" s="13"/>
      <c r="F99" s="13"/>
      <c r="G99" s="13"/>
      <c r="H99" s="13"/>
      <c r="I99" s="13"/>
      <c r="J99" s="13"/>
      <c r="K99" s="14"/>
    </row>
    <row r="100" spans="2:11" x14ac:dyDescent="0.25">
      <c r="B100" s="12"/>
      <c r="C100" s="13"/>
      <c r="D100" s="13"/>
      <c r="E100" s="13"/>
      <c r="F100" s="13"/>
      <c r="G100" s="13"/>
      <c r="H100" s="13"/>
      <c r="I100" s="13"/>
      <c r="J100" s="13"/>
      <c r="K100" s="14"/>
    </row>
    <row r="101" spans="2:11" x14ac:dyDescent="0.25">
      <c r="B101" s="12"/>
      <c r="C101" s="13"/>
      <c r="D101" s="13"/>
      <c r="E101" s="13"/>
      <c r="F101" s="13"/>
      <c r="G101" s="13"/>
      <c r="H101" s="13"/>
      <c r="I101" s="13"/>
      <c r="J101" s="13"/>
      <c r="K101" s="14"/>
    </row>
    <row r="102" spans="2:11" x14ac:dyDescent="0.25">
      <c r="B102" s="12"/>
      <c r="C102" s="13"/>
      <c r="D102" s="13"/>
      <c r="E102" s="13"/>
      <c r="F102" s="13"/>
      <c r="G102" s="13"/>
      <c r="H102" s="13"/>
      <c r="I102" s="13"/>
      <c r="J102" s="13"/>
      <c r="K102" s="14"/>
    </row>
    <row r="103" spans="2:11" x14ac:dyDescent="0.25">
      <c r="B103" s="12"/>
      <c r="C103" s="13"/>
      <c r="D103" s="13"/>
      <c r="E103" s="13"/>
      <c r="F103" s="13"/>
      <c r="G103" s="13"/>
      <c r="H103" s="13"/>
      <c r="I103" s="13"/>
      <c r="J103" s="13"/>
      <c r="K103" s="14"/>
    </row>
    <row r="104" spans="2:11" x14ac:dyDescent="0.25">
      <c r="B104" s="12"/>
      <c r="C104" s="13"/>
      <c r="D104" s="13"/>
      <c r="E104" s="13"/>
      <c r="F104" s="13"/>
      <c r="G104" s="13"/>
      <c r="H104" s="13"/>
      <c r="I104" s="13"/>
      <c r="J104" s="13"/>
      <c r="K104" s="14"/>
    </row>
    <row r="105" spans="2:11" x14ac:dyDescent="0.25">
      <c r="B105" s="12"/>
      <c r="C105" s="13"/>
      <c r="D105" s="13"/>
      <c r="E105" s="13"/>
      <c r="F105" s="13"/>
      <c r="G105" s="13"/>
      <c r="H105" s="13"/>
      <c r="I105" s="13"/>
      <c r="J105" s="13"/>
      <c r="K105" s="14"/>
    </row>
    <row r="106" spans="2:11" x14ac:dyDescent="0.25">
      <c r="B106" s="12"/>
      <c r="C106" s="13"/>
      <c r="D106" s="13"/>
      <c r="E106" s="13"/>
      <c r="F106" s="13"/>
      <c r="G106" s="13"/>
      <c r="H106" s="13"/>
      <c r="I106" s="13"/>
      <c r="J106" s="13"/>
      <c r="K106" s="14"/>
    </row>
    <row r="107" spans="2:11" x14ac:dyDescent="0.25">
      <c r="B107" s="12"/>
      <c r="C107" s="13"/>
      <c r="D107" s="13"/>
      <c r="E107" s="13"/>
      <c r="F107" s="13"/>
      <c r="G107" s="13"/>
      <c r="H107" s="13"/>
      <c r="I107" s="13"/>
      <c r="J107" s="13"/>
      <c r="K107" s="14"/>
    </row>
    <row r="108" spans="2:11" x14ac:dyDescent="0.25">
      <c r="B108" s="12"/>
      <c r="C108" s="13"/>
      <c r="D108" s="13"/>
      <c r="E108" s="13"/>
      <c r="F108" s="13"/>
      <c r="G108" s="13"/>
      <c r="H108" s="13"/>
      <c r="I108" s="13"/>
      <c r="J108" s="13"/>
      <c r="K108" s="14"/>
    </row>
    <row r="109" spans="2:11" ht="15.75" thickBot="1" x14ac:dyDescent="0.3">
      <c r="B109" s="15"/>
      <c r="C109" s="16"/>
      <c r="D109" s="16"/>
      <c r="E109" s="16"/>
      <c r="F109" s="16"/>
      <c r="G109" s="16"/>
      <c r="H109" s="16"/>
      <c r="I109" s="16"/>
      <c r="J109" s="16"/>
      <c r="K109" s="17"/>
    </row>
    <row r="113" spans="2:2" ht="21" x14ac:dyDescent="0.35">
      <c r="B113" s="21" t="s">
        <v>226</v>
      </c>
    </row>
  </sheetData>
  <conditionalFormatting sqref="L62:L88">
    <cfRule type="cellIs" dxfId="3" priority="3" operator="lessThan">
      <formula>0</formula>
    </cfRule>
    <cfRule type="cellIs" dxfId="2" priority="4" operator="greaterThan">
      <formula>0</formula>
    </cfRule>
  </conditionalFormatting>
  <conditionalFormatting sqref="H59">
    <cfRule type="expression" dxfId="1" priority="5">
      <formula>$H62="West Sussex"</formula>
    </cfRule>
  </conditionalFormatting>
  <conditionalFormatting sqref="G62:L88">
    <cfRule type="expression" dxfId="0" priority="6">
      <formula>$H62="West Sussex"</formula>
    </cfRule>
  </conditionalFormatting>
  <dataValidations disablePrompts="1" count="1">
    <dataValidation type="list" allowBlank="1" showInputMessage="1" showErrorMessage="1" sqref="H59" xr:uid="{918878E0-CFC4-44ED-A160-780528ECCC59}">
      <formula1>INDIRECT("q2c_region_rank[region]")</formula1>
    </dataValidation>
  </dataValidations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7F962E9-7752-4ABA-AEF9-C1F39111D2C4}">
  <dimension ref="A1:F141"/>
  <sheetViews>
    <sheetView topLeftCell="A61" workbookViewId="0">
      <selection activeCell="H15" sqref="H15"/>
    </sheetView>
  </sheetViews>
  <sheetFormatPr defaultRowHeight="15" x14ac:dyDescent="0.25"/>
  <cols>
    <col min="1" max="1" width="24.5703125" bestFit="1" customWidth="1"/>
    <col min="2" max="2" width="35.42578125" bestFit="1" customWidth="1"/>
    <col min="3" max="3" width="15" bestFit="1" customWidth="1"/>
    <col min="4" max="4" width="8.5703125" bestFit="1" customWidth="1"/>
    <col min="5" max="5" width="12.7109375" bestFit="1" customWidth="1"/>
    <col min="6" max="6" width="6.42578125" bestFit="1" customWidth="1"/>
  </cols>
  <sheetData>
    <row r="1" spans="1:6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 x14ac:dyDescent="0.25">
      <c r="A2" t="s">
        <v>6</v>
      </c>
      <c r="B2" t="s">
        <v>7</v>
      </c>
      <c r="C2">
        <v>122</v>
      </c>
      <c r="D2">
        <v>93.4</v>
      </c>
      <c r="E2">
        <v>79.7</v>
      </c>
      <c r="F2">
        <v>13.7</v>
      </c>
    </row>
    <row r="3" spans="1:6" x14ac:dyDescent="0.25">
      <c r="A3" t="s">
        <v>8</v>
      </c>
      <c r="B3" t="s">
        <v>9</v>
      </c>
      <c r="C3">
        <v>53</v>
      </c>
      <c r="D3">
        <v>92.5</v>
      </c>
      <c r="E3">
        <v>79.8</v>
      </c>
      <c r="F3">
        <v>12.7</v>
      </c>
    </row>
    <row r="4" spans="1:6" x14ac:dyDescent="0.25">
      <c r="A4" t="s">
        <v>6</v>
      </c>
      <c r="B4" t="s">
        <v>10</v>
      </c>
      <c r="C4">
        <v>77</v>
      </c>
      <c r="D4">
        <v>92.2</v>
      </c>
      <c r="E4">
        <v>79.7</v>
      </c>
      <c r="F4">
        <v>12.5</v>
      </c>
    </row>
    <row r="5" spans="1:6" x14ac:dyDescent="0.25">
      <c r="A5" t="s">
        <v>6</v>
      </c>
      <c r="B5" t="s">
        <v>11</v>
      </c>
      <c r="C5">
        <v>25</v>
      </c>
      <c r="D5">
        <v>92</v>
      </c>
      <c r="E5">
        <v>79.7</v>
      </c>
      <c r="F5">
        <v>12.3</v>
      </c>
    </row>
    <row r="6" spans="1:6" x14ac:dyDescent="0.25">
      <c r="A6" t="s">
        <v>12</v>
      </c>
      <c r="B6" t="s">
        <v>13</v>
      </c>
      <c r="C6">
        <v>55</v>
      </c>
      <c r="D6">
        <v>89.1</v>
      </c>
      <c r="E6">
        <v>77.7</v>
      </c>
      <c r="F6">
        <v>11.4</v>
      </c>
    </row>
    <row r="7" spans="1:6" x14ac:dyDescent="0.25">
      <c r="A7" t="s">
        <v>14</v>
      </c>
      <c r="B7" t="s">
        <v>15</v>
      </c>
      <c r="C7">
        <v>42</v>
      </c>
      <c r="D7">
        <v>92.9</v>
      </c>
      <c r="E7">
        <v>81.900000000000006</v>
      </c>
      <c r="F7">
        <v>11</v>
      </c>
    </row>
    <row r="8" spans="1:6" x14ac:dyDescent="0.25">
      <c r="A8" t="s">
        <v>16</v>
      </c>
      <c r="B8" t="s">
        <v>17</v>
      </c>
      <c r="C8">
        <v>35</v>
      </c>
      <c r="D8">
        <v>100</v>
      </c>
      <c r="E8">
        <v>89.3</v>
      </c>
      <c r="F8">
        <v>10.7</v>
      </c>
    </row>
    <row r="9" spans="1:6" x14ac:dyDescent="0.25">
      <c r="A9" t="s">
        <v>14</v>
      </c>
      <c r="B9" t="s">
        <v>18</v>
      </c>
      <c r="C9">
        <v>82</v>
      </c>
      <c r="D9">
        <v>91.5</v>
      </c>
      <c r="E9">
        <v>81.900000000000006</v>
      </c>
      <c r="F9">
        <v>9.6</v>
      </c>
    </row>
    <row r="10" spans="1:6" x14ac:dyDescent="0.25">
      <c r="A10" t="s">
        <v>8</v>
      </c>
      <c r="B10" t="s">
        <v>19</v>
      </c>
      <c r="C10">
        <v>36</v>
      </c>
      <c r="D10">
        <v>88.9</v>
      </c>
      <c r="E10">
        <v>79.8</v>
      </c>
      <c r="F10">
        <v>9.1</v>
      </c>
    </row>
    <row r="11" spans="1:6" x14ac:dyDescent="0.25">
      <c r="A11" t="s">
        <v>8</v>
      </c>
      <c r="B11" t="s">
        <v>20</v>
      </c>
      <c r="C11">
        <v>54</v>
      </c>
      <c r="D11">
        <v>88.9</v>
      </c>
      <c r="E11">
        <v>79.8</v>
      </c>
      <c r="F11">
        <v>9.1</v>
      </c>
    </row>
    <row r="12" spans="1:6" x14ac:dyDescent="0.25">
      <c r="A12" t="s">
        <v>21</v>
      </c>
      <c r="B12" t="s">
        <v>22</v>
      </c>
      <c r="C12">
        <v>87</v>
      </c>
      <c r="D12">
        <v>97.7</v>
      </c>
      <c r="E12">
        <v>88.8</v>
      </c>
      <c r="F12">
        <v>8.9</v>
      </c>
    </row>
    <row r="13" spans="1:6" x14ac:dyDescent="0.25">
      <c r="A13" t="s">
        <v>8</v>
      </c>
      <c r="B13" t="s">
        <v>23</v>
      </c>
      <c r="C13">
        <v>49</v>
      </c>
      <c r="D13">
        <v>87.8</v>
      </c>
      <c r="E13">
        <v>79.8</v>
      </c>
      <c r="F13">
        <v>8</v>
      </c>
    </row>
    <row r="14" spans="1:6" x14ac:dyDescent="0.25">
      <c r="A14" t="s">
        <v>8</v>
      </c>
      <c r="B14" t="s">
        <v>24</v>
      </c>
      <c r="C14">
        <v>49</v>
      </c>
      <c r="D14">
        <v>87.8</v>
      </c>
      <c r="E14">
        <v>79.8</v>
      </c>
      <c r="F14">
        <v>8</v>
      </c>
    </row>
    <row r="15" spans="1:6" x14ac:dyDescent="0.25">
      <c r="A15" t="s">
        <v>25</v>
      </c>
      <c r="B15" t="s">
        <v>26</v>
      </c>
      <c r="C15">
        <v>77</v>
      </c>
      <c r="D15">
        <v>88.3</v>
      </c>
      <c r="E15">
        <v>80.400000000000006</v>
      </c>
      <c r="F15">
        <v>7.9</v>
      </c>
    </row>
    <row r="16" spans="1:6" x14ac:dyDescent="0.25">
      <c r="A16" t="s">
        <v>21</v>
      </c>
      <c r="B16" t="s">
        <v>27</v>
      </c>
      <c r="C16">
        <v>88</v>
      </c>
      <c r="D16">
        <v>96.6</v>
      </c>
      <c r="E16">
        <v>88.8</v>
      </c>
      <c r="F16">
        <v>7.8</v>
      </c>
    </row>
    <row r="17" spans="1:6" x14ac:dyDescent="0.25">
      <c r="A17" t="s">
        <v>14</v>
      </c>
      <c r="B17" t="s">
        <v>28</v>
      </c>
      <c r="C17">
        <v>39</v>
      </c>
      <c r="D17">
        <v>89.7</v>
      </c>
      <c r="E17">
        <v>81.900000000000006</v>
      </c>
      <c r="F17">
        <v>7.8</v>
      </c>
    </row>
    <row r="18" spans="1:6" x14ac:dyDescent="0.25">
      <c r="A18" t="s">
        <v>6</v>
      </c>
      <c r="B18" t="s">
        <v>29</v>
      </c>
      <c r="C18">
        <v>32</v>
      </c>
      <c r="D18">
        <v>87.5</v>
      </c>
      <c r="E18">
        <v>79.7</v>
      </c>
      <c r="F18">
        <v>7.8</v>
      </c>
    </row>
    <row r="19" spans="1:6" x14ac:dyDescent="0.25">
      <c r="A19" t="s">
        <v>21</v>
      </c>
      <c r="B19" t="s">
        <v>30</v>
      </c>
      <c r="C19">
        <v>124</v>
      </c>
      <c r="D19">
        <v>96</v>
      </c>
      <c r="E19">
        <v>88.8</v>
      </c>
      <c r="F19">
        <v>7.2</v>
      </c>
    </row>
    <row r="20" spans="1:6" x14ac:dyDescent="0.25">
      <c r="A20" t="s">
        <v>21</v>
      </c>
      <c r="B20" t="s">
        <v>31</v>
      </c>
      <c r="C20">
        <v>74</v>
      </c>
      <c r="D20">
        <v>95.9</v>
      </c>
      <c r="E20">
        <v>88.8</v>
      </c>
      <c r="F20">
        <v>7.1</v>
      </c>
    </row>
    <row r="21" spans="1:6" x14ac:dyDescent="0.25">
      <c r="A21" t="s">
        <v>12</v>
      </c>
      <c r="B21" t="s">
        <v>32</v>
      </c>
      <c r="C21">
        <v>162</v>
      </c>
      <c r="D21">
        <v>84.6</v>
      </c>
      <c r="E21">
        <v>77.7</v>
      </c>
      <c r="F21">
        <v>6.9</v>
      </c>
    </row>
    <row r="22" spans="1:6" x14ac:dyDescent="0.25">
      <c r="A22" t="s">
        <v>16</v>
      </c>
      <c r="B22" t="s">
        <v>33</v>
      </c>
      <c r="C22">
        <v>46</v>
      </c>
      <c r="D22">
        <v>95.7</v>
      </c>
      <c r="E22">
        <v>89.3</v>
      </c>
      <c r="F22">
        <v>6.4</v>
      </c>
    </row>
    <row r="23" spans="1:6" x14ac:dyDescent="0.25">
      <c r="A23" t="s">
        <v>12</v>
      </c>
      <c r="B23" t="s">
        <v>34</v>
      </c>
      <c r="C23">
        <v>82</v>
      </c>
      <c r="D23">
        <v>84.1</v>
      </c>
      <c r="E23">
        <v>77.7</v>
      </c>
      <c r="F23">
        <v>6.4</v>
      </c>
    </row>
    <row r="24" spans="1:6" x14ac:dyDescent="0.25">
      <c r="A24" t="s">
        <v>14</v>
      </c>
      <c r="B24" t="s">
        <v>35</v>
      </c>
      <c r="C24">
        <v>42</v>
      </c>
      <c r="D24">
        <v>88.1</v>
      </c>
      <c r="E24">
        <v>81.900000000000006</v>
      </c>
      <c r="F24">
        <v>6.2</v>
      </c>
    </row>
    <row r="25" spans="1:6" x14ac:dyDescent="0.25">
      <c r="A25" t="s">
        <v>16</v>
      </c>
      <c r="B25" t="s">
        <v>36</v>
      </c>
      <c r="C25">
        <v>64</v>
      </c>
      <c r="D25">
        <v>95.3</v>
      </c>
      <c r="E25">
        <v>89.3</v>
      </c>
      <c r="F25">
        <v>6</v>
      </c>
    </row>
    <row r="26" spans="1:6" x14ac:dyDescent="0.25">
      <c r="A26" t="s">
        <v>16</v>
      </c>
      <c r="B26" t="s">
        <v>37</v>
      </c>
      <c r="C26">
        <v>42</v>
      </c>
      <c r="D26">
        <v>95.2</v>
      </c>
      <c r="E26">
        <v>89.3</v>
      </c>
      <c r="F26">
        <v>5.9</v>
      </c>
    </row>
    <row r="27" spans="1:6" x14ac:dyDescent="0.25">
      <c r="A27" t="s">
        <v>16</v>
      </c>
      <c r="B27" t="s">
        <v>38</v>
      </c>
      <c r="C27">
        <v>21</v>
      </c>
      <c r="D27">
        <v>95.2</v>
      </c>
      <c r="E27">
        <v>89.3</v>
      </c>
      <c r="F27">
        <v>5.9</v>
      </c>
    </row>
    <row r="28" spans="1:6" x14ac:dyDescent="0.25">
      <c r="A28" t="s">
        <v>14</v>
      </c>
      <c r="B28" t="s">
        <v>39</v>
      </c>
      <c r="C28">
        <v>122</v>
      </c>
      <c r="D28">
        <v>87.7</v>
      </c>
      <c r="E28">
        <v>81.900000000000006</v>
      </c>
      <c r="F28">
        <v>5.8</v>
      </c>
    </row>
    <row r="29" spans="1:6" x14ac:dyDescent="0.25">
      <c r="A29" t="s">
        <v>25</v>
      </c>
      <c r="B29" t="s">
        <v>40</v>
      </c>
      <c r="C29">
        <v>188</v>
      </c>
      <c r="D29">
        <v>86.2</v>
      </c>
      <c r="E29">
        <v>80.400000000000006</v>
      </c>
      <c r="F29">
        <v>5.8</v>
      </c>
    </row>
    <row r="30" spans="1:6" x14ac:dyDescent="0.25">
      <c r="A30" t="s">
        <v>16</v>
      </c>
      <c r="B30" t="s">
        <v>41</v>
      </c>
      <c r="C30">
        <v>40</v>
      </c>
      <c r="D30">
        <v>95</v>
      </c>
      <c r="E30">
        <v>89.3</v>
      </c>
      <c r="F30">
        <v>5.7</v>
      </c>
    </row>
    <row r="31" spans="1:6" x14ac:dyDescent="0.25">
      <c r="A31" t="s">
        <v>42</v>
      </c>
      <c r="B31" t="s">
        <v>43</v>
      </c>
      <c r="C31">
        <v>253</v>
      </c>
      <c r="D31">
        <v>85.4</v>
      </c>
      <c r="E31">
        <v>79.7</v>
      </c>
      <c r="F31">
        <v>5.7</v>
      </c>
    </row>
    <row r="32" spans="1:6" x14ac:dyDescent="0.25">
      <c r="A32" t="s">
        <v>21</v>
      </c>
      <c r="B32" t="s">
        <v>44</v>
      </c>
      <c r="C32">
        <v>106</v>
      </c>
      <c r="D32">
        <v>94.3</v>
      </c>
      <c r="E32">
        <v>88.8</v>
      </c>
      <c r="F32">
        <v>5.5</v>
      </c>
    </row>
    <row r="33" spans="1:6" x14ac:dyDescent="0.25">
      <c r="A33" t="s">
        <v>25</v>
      </c>
      <c r="B33" t="s">
        <v>45</v>
      </c>
      <c r="C33">
        <v>49</v>
      </c>
      <c r="D33">
        <v>85.7</v>
      </c>
      <c r="E33">
        <v>80.400000000000006</v>
      </c>
      <c r="F33">
        <v>5.3</v>
      </c>
    </row>
    <row r="34" spans="1:6" x14ac:dyDescent="0.25">
      <c r="A34" t="s">
        <v>8</v>
      </c>
      <c r="B34" t="s">
        <v>46</v>
      </c>
      <c r="C34">
        <v>71</v>
      </c>
      <c r="D34">
        <v>84.5</v>
      </c>
      <c r="E34">
        <v>79.8</v>
      </c>
      <c r="F34">
        <v>4.7</v>
      </c>
    </row>
    <row r="35" spans="1:6" x14ac:dyDescent="0.25">
      <c r="A35" t="s">
        <v>25</v>
      </c>
      <c r="B35" t="s">
        <v>47</v>
      </c>
      <c r="C35">
        <v>107</v>
      </c>
      <c r="D35">
        <v>85</v>
      </c>
      <c r="E35">
        <v>80.400000000000006</v>
      </c>
      <c r="F35">
        <v>4.5999999999999996</v>
      </c>
    </row>
    <row r="36" spans="1:6" x14ac:dyDescent="0.25">
      <c r="A36" t="s">
        <v>8</v>
      </c>
      <c r="B36" t="s">
        <v>48</v>
      </c>
      <c r="C36">
        <v>32</v>
      </c>
      <c r="D36">
        <v>84.4</v>
      </c>
      <c r="E36">
        <v>79.8</v>
      </c>
      <c r="F36">
        <v>4.5999999999999996</v>
      </c>
    </row>
    <row r="37" spans="1:6" x14ac:dyDescent="0.25">
      <c r="A37" t="s">
        <v>25</v>
      </c>
      <c r="B37" t="s">
        <v>49</v>
      </c>
      <c r="C37">
        <v>33</v>
      </c>
      <c r="D37">
        <v>84.8</v>
      </c>
      <c r="E37">
        <v>80.400000000000006</v>
      </c>
      <c r="F37">
        <v>4.4000000000000004</v>
      </c>
    </row>
    <row r="38" spans="1:6" x14ac:dyDescent="0.25">
      <c r="A38" t="s">
        <v>16</v>
      </c>
      <c r="B38" t="s">
        <v>50</v>
      </c>
      <c r="C38">
        <v>47</v>
      </c>
      <c r="D38">
        <v>93.6</v>
      </c>
      <c r="E38">
        <v>89.3</v>
      </c>
      <c r="F38">
        <v>4.3</v>
      </c>
    </row>
    <row r="39" spans="1:6" x14ac:dyDescent="0.25">
      <c r="A39" t="s">
        <v>51</v>
      </c>
      <c r="B39" t="s">
        <v>52</v>
      </c>
      <c r="C39">
        <v>48</v>
      </c>
      <c r="D39">
        <v>95.8</v>
      </c>
      <c r="E39">
        <v>91.5</v>
      </c>
      <c r="F39">
        <v>4.3</v>
      </c>
    </row>
    <row r="40" spans="1:6" x14ac:dyDescent="0.25">
      <c r="A40" t="s">
        <v>8</v>
      </c>
      <c r="B40" t="s">
        <v>53</v>
      </c>
      <c r="C40">
        <v>56</v>
      </c>
      <c r="D40">
        <v>83.9</v>
      </c>
      <c r="E40">
        <v>79.8</v>
      </c>
      <c r="F40">
        <v>4.0999999999999996</v>
      </c>
    </row>
    <row r="41" spans="1:6" x14ac:dyDescent="0.25">
      <c r="A41" t="s">
        <v>6</v>
      </c>
      <c r="B41" t="s">
        <v>54</v>
      </c>
      <c r="C41">
        <v>367</v>
      </c>
      <c r="D41">
        <v>83.7</v>
      </c>
      <c r="E41">
        <v>79.7</v>
      </c>
      <c r="F41">
        <v>4</v>
      </c>
    </row>
    <row r="42" spans="1:6" x14ac:dyDescent="0.25">
      <c r="A42" t="s">
        <v>8</v>
      </c>
      <c r="B42" t="s">
        <v>55</v>
      </c>
      <c r="C42">
        <v>387</v>
      </c>
      <c r="D42">
        <v>83.7</v>
      </c>
      <c r="E42">
        <v>79.8</v>
      </c>
      <c r="F42">
        <v>3.9</v>
      </c>
    </row>
    <row r="43" spans="1:6" x14ac:dyDescent="0.25">
      <c r="A43" t="s">
        <v>12</v>
      </c>
      <c r="B43" t="s">
        <v>56</v>
      </c>
      <c r="C43">
        <v>102</v>
      </c>
      <c r="D43">
        <v>81.400000000000006</v>
      </c>
      <c r="E43">
        <v>77.7</v>
      </c>
      <c r="F43">
        <v>3.7</v>
      </c>
    </row>
    <row r="44" spans="1:6" x14ac:dyDescent="0.25">
      <c r="A44" t="s">
        <v>51</v>
      </c>
      <c r="B44" t="s">
        <v>57</v>
      </c>
      <c r="C44">
        <v>42</v>
      </c>
      <c r="D44">
        <v>95.2</v>
      </c>
      <c r="E44">
        <v>91.5</v>
      </c>
      <c r="F44">
        <v>3.7</v>
      </c>
    </row>
    <row r="45" spans="1:6" x14ac:dyDescent="0.25">
      <c r="A45" t="s">
        <v>16</v>
      </c>
      <c r="B45" t="s">
        <v>58</v>
      </c>
      <c r="C45">
        <v>28</v>
      </c>
      <c r="D45">
        <v>92.9</v>
      </c>
      <c r="E45">
        <v>89.3</v>
      </c>
      <c r="F45">
        <v>3.6</v>
      </c>
    </row>
    <row r="46" spans="1:6" x14ac:dyDescent="0.25">
      <c r="A46" t="s">
        <v>16</v>
      </c>
      <c r="B46" t="s">
        <v>59</v>
      </c>
      <c r="C46">
        <v>52</v>
      </c>
      <c r="D46">
        <v>92.3</v>
      </c>
      <c r="E46">
        <v>89.3</v>
      </c>
      <c r="F46">
        <v>3</v>
      </c>
    </row>
    <row r="47" spans="1:6" x14ac:dyDescent="0.25">
      <c r="A47" t="s">
        <v>14</v>
      </c>
      <c r="B47" t="s">
        <v>60</v>
      </c>
      <c r="C47">
        <v>271</v>
      </c>
      <c r="D47">
        <v>84.9</v>
      </c>
      <c r="E47">
        <v>81.900000000000006</v>
      </c>
      <c r="F47">
        <v>3</v>
      </c>
    </row>
    <row r="48" spans="1:6" x14ac:dyDescent="0.25">
      <c r="A48" t="s">
        <v>12</v>
      </c>
      <c r="B48" t="s">
        <v>61</v>
      </c>
      <c r="C48">
        <v>77</v>
      </c>
      <c r="D48">
        <v>80.5</v>
      </c>
      <c r="E48">
        <v>77.7</v>
      </c>
      <c r="F48">
        <v>2.8</v>
      </c>
    </row>
    <row r="49" spans="1:6" x14ac:dyDescent="0.25">
      <c r="A49" t="s">
        <v>14</v>
      </c>
      <c r="B49" t="s">
        <v>62</v>
      </c>
      <c r="C49">
        <v>428</v>
      </c>
      <c r="D49">
        <v>84.6</v>
      </c>
      <c r="E49">
        <v>81.900000000000006</v>
      </c>
      <c r="F49">
        <v>2.7</v>
      </c>
    </row>
    <row r="50" spans="1:6" x14ac:dyDescent="0.25">
      <c r="A50" t="s">
        <v>12</v>
      </c>
      <c r="B50" t="s">
        <v>63</v>
      </c>
      <c r="C50">
        <v>152</v>
      </c>
      <c r="D50">
        <v>80.3</v>
      </c>
      <c r="E50">
        <v>77.7</v>
      </c>
      <c r="F50">
        <v>2.6</v>
      </c>
    </row>
    <row r="51" spans="1:6" x14ac:dyDescent="0.25">
      <c r="A51" t="s">
        <v>16</v>
      </c>
      <c r="B51" t="s">
        <v>64</v>
      </c>
      <c r="C51">
        <v>24</v>
      </c>
      <c r="D51">
        <v>91.7</v>
      </c>
      <c r="E51">
        <v>89.3</v>
      </c>
      <c r="F51">
        <v>2.4</v>
      </c>
    </row>
    <row r="52" spans="1:6" x14ac:dyDescent="0.25">
      <c r="A52" t="s">
        <v>14</v>
      </c>
      <c r="B52" t="s">
        <v>65</v>
      </c>
      <c r="C52">
        <v>315</v>
      </c>
      <c r="D52">
        <v>84.1</v>
      </c>
      <c r="E52">
        <v>81.900000000000006</v>
      </c>
      <c r="F52">
        <v>2.2000000000000002</v>
      </c>
    </row>
    <row r="53" spans="1:6" x14ac:dyDescent="0.25">
      <c r="A53" t="s">
        <v>42</v>
      </c>
      <c r="B53" t="s">
        <v>66</v>
      </c>
      <c r="C53">
        <v>148</v>
      </c>
      <c r="D53">
        <v>81.8</v>
      </c>
      <c r="E53">
        <v>79.7</v>
      </c>
      <c r="F53">
        <v>2.1</v>
      </c>
    </row>
    <row r="54" spans="1:6" x14ac:dyDescent="0.25">
      <c r="A54" t="s">
        <v>51</v>
      </c>
      <c r="B54" t="s">
        <v>67</v>
      </c>
      <c r="C54">
        <v>31</v>
      </c>
      <c r="D54">
        <v>93.5</v>
      </c>
      <c r="E54">
        <v>91.5</v>
      </c>
      <c r="F54">
        <v>2</v>
      </c>
    </row>
    <row r="55" spans="1:6" x14ac:dyDescent="0.25">
      <c r="A55" t="s">
        <v>16</v>
      </c>
      <c r="B55" t="s">
        <v>68</v>
      </c>
      <c r="C55">
        <v>45</v>
      </c>
      <c r="D55">
        <v>91.1</v>
      </c>
      <c r="E55">
        <v>89.3</v>
      </c>
      <c r="F55">
        <v>1.8</v>
      </c>
    </row>
    <row r="56" spans="1:6" x14ac:dyDescent="0.25">
      <c r="A56" t="s">
        <v>25</v>
      </c>
      <c r="B56" t="s">
        <v>69</v>
      </c>
      <c r="C56">
        <v>67</v>
      </c>
      <c r="D56">
        <v>82.1</v>
      </c>
      <c r="E56">
        <v>80.400000000000006</v>
      </c>
      <c r="F56">
        <v>1.7</v>
      </c>
    </row>
    <row r="57" spans="1:6" x14ac:dyDescent="0.25">
      <c r="A57" t="s">
        <v>42</v>
      </c>
      <c r="B57" t="s">
        <v>70</v>
      </c>
      <c r="C57">
        <v>221</v>
      </c>
      <c r="D57">
        <v>81.400000000000006</v>
      </c>
      <c r="E57">
        <v>79.7</v>
      </c>
      <c r="F57">
        <v>1.7</v>
      </c>
    </row>
    <row r="58" spans="1:6" x14ac:dyDescent="0.25">
      <c r="A58" t="s">
        <v>12</v>
      </c>
      <c r="B58" t="s">
        <v>71</v>
      </c>
      <c r="C58">
        <v>34</v>
      </c>
      <c r="D58">
        <v>79.400000000000006</v>
      </c>
      <c r="E58">
        <v>77.7</v>
      </c>
      <c r="F58">
        <v>1.7</v>
      </c>
    </row>
    <row r="59" spans="1:6" x14ac:dyDescent="0.25">
      <c r="A59" t="s">
        <v>51</v>
      </c>
      <c r="B59" t="s">
        <v>72</v>
      </c>
      <c r="C59">
        <v>86</v>
      </c>
      <c r="D59">
        <v>93</v>
      </c>
      <c r="E59">
        <v>91.5</v>
      </c>
      <c r="F59">
        <v>1.5</v>
      </c>
    </row>
    <row r="60" spans="1:6" x14ac:dyDescent="0.25">
      <c r="A60" t="s">
        <v>16</v>
      </c>
      <c r="B60" t="s">
        <v>73</v>
      </c>
      <c r="C60">
        <v>43</v>
      </c>
      <c r="D60">
        <v>90.7</v>
      </c>
      <c r="E60">
        <v>89.3</v>
      </c>
      <c r="F60">
        <v>1.4</v>
      </c>
    </row>
    <row r="61" spans="1:6" x14ac:dyDescent="0.25">
      <c r="A61" t="s">
        <v>6</v>
      </c>
      <c r="B61" t="s">
        <v>74</v>
      </c>
      <c r="C61">
        <v>169</v>
      </c>
      <c r="D61">
        <v>81.099999999999994</v>
      </c>
      <c r="E61">
        <v>79.7</v>
      </c>
      <c r="F61">
        <v>1.4</v>
      </c>
    </row>
    <row r="62" spans="1:6" x14ac:dyDescent="0.25">
      <c r="A62" t="s">
        <v>51</v>
      </c>
      <c r="B62" t="s">
        <v>75</v>
      </c>
      <c r="C62">
        <v>139</v>
      </c>
      <c r="D62">
        <v>92.8</v>
      </c>
      <c r="E62">
        <v>91.5</v>
      </c>
      <c r="F62">
        <v>1.3</v>
      </c>
    </row>
    <row r="63" spans="1:6" x14ac:dyDescent="0.25">
      <c r="A63" t="s">
        <v>8</v>
      </c>
      <c r="B63" t="s">
        <v>76</v>
      </c>
      <c r="C63">
        <v>42</v>
      </c>
      <c r="D63">
        <v>81</v>
      </c>
      <c r="E63">
        <v>79.8</v>
      </c>
      <c r="F63">
        <v>1.2</v>
      </c>
    </row>
    <row r="64" spans="1:6" x14ac:dyDescent="0.25">
      <c r="A64" t="s">
        <v>16</v>
      </c>
      <c r="B64" t="s">
        <v>77</v>
      </c>
      <c r="C64">
        <v>21</v>
      </c>
      <c r="D64">
        <v>90.5</v>
      </c>
      <c r="E64">
        <v>89.3</v>
      </c>
      <c r="F64">
        <v>1.2</v>
      </c>
    </row>
    <row r="65" spans="1:6" x14ac:dyDescent="0.25">
      <c r="A65" t="s">
        <v>14</v>
      </c>
      <c r="B65" t="s">
        <v>78</v>
      </c>
      <c r="C65">
        <v>47</v>
      </c>
      <c r="D65">
        <v>83</v>
      </c>
      <c r="E65">
        <v>81.900000000000006</v>
      </c>
      <c r="F65">
        <v>1.1000000000000001</v>
      </c>
    </row>
    <row r="66" spans="1:6" x14ac:dyDescent="0.25">
      <c r="A66" t="s">
        <v>8</v>
      </c>
      <c r="B66" t="s">
        <v>79</v>
      </c>
      <c r="C66">
        <v>52</v>
      </c>
      <c r="D66">
        <v>80.8</v>
      </c>
      <c r="E66">
        <v>79.8</v>
      </c>
      <c r="F66">
        <v>1</v>
      </c>
    </row>
    <row r="67" spans="1:6" x14ac:dyDescent="0.25">
      <c r="A67" t="s">
        <v>21</v>
      </c>
      <c r="B67" t="s">
        <v>80</v>
      </c>
      <c r="C67">
        <v>285</v>
      </c>
      <c r="D67">
        <v>89.8</v>
      </c>
      <c r="E67">
        <v>88.8</v>
      </c>
      <c r="F67">
        <v>1</v>
      </c>
    </row>
    <row r="68" spans="1:6" x14ac:dyDescent="0.25">
      <c r="A68" t="s">
        <v>42</v>
      </c>
      <c r="B68" t="s">
        <v>81</v>
      </c>
      <c r="C68">
        <v>103</v>
      </c>
      <c r="D68">
        <v>80.599999999999994</v>
      </c>
      <c r="E68">
        <v>79.7</v>
      </c>
      <c r="F68">
        <v>0.9</v>
      </c>
    </row>
    <row r="69" spans="1:6" x14ac:dyDescent="0.25">
      <c r="A69" t="s">
        <v>51</v>
      </c>
      <c r="B69" t="s">
        <v>82</v>
      </c>
      <c r="C69">
        <v>26</v>
      </c>
      <c r="D69">
        <v>92.3</v>
      </c>
      <c r="E69">
        <v>91.5</v>
      </c>
      <c r="F69">
        <v>0.8</v>
      </c>
    </row>
    <row r="70" spans="1:6" x14ac:dyDescent="0.25">
      <c r="A70" t="s">
        <v>12</v>
      </c>
      <c r="B70" t="s">
        <v>83</v>
      </c>
      <c r="C70">
        <v>235</v>
      </c>
      <c r="D70">
        <v>78.3</v>
      </c>
      <c r="E70">
        <v>77.7</v>
      </c>
      <c r="F70">
        <v>0.6</v>
      </c>
    </row>
    <row r="71" spans="1:6" x14ac:dyDescent="0.25">
      <c r="A71" t="s">
        <v>16</v>
      </c>
      <c r="B71" t="s">
        <v>84</v>
      </c>
      <c r="C71">
        <v>118</v>
      </c>
      <c r="D71">
        <v>89.8</v>
      </c>
      <c r="E71">
        <v>89.3</v>
      </c>
      <c r="F71">
        <v>0.5</v>
      </c>
    </row>
    <row r="72" spans="1:6" x14ac:dyDescent="0.25">
      <c r="A72" t="s">
        <v>42</v>
      </c>
      <c r="B72" t="s">
        <v>85</v>
      </c>
      <c r="C72">
        <v>91</v>
      </c>
      <c r="D72">
        <v>80.2</v>
      </c>
      <c r="E72">
        <v>79.7</v>
      </c>
      <c r="F72">
        <v>0.5</v>
      </c>
    </row>
    <row r="73" spans="1:6" x14ac:dyDescent="0.25">
      <c r="A73" t="s">
        <v>21</v>
      </c>
      <c r="B73" t="s">
        <v>86</v>
      </c>
      <c r="C73">
        <v>182</v>
      </c>
      <c r="D73">
        <v>89</v>
      </c>
      <c r="E73">
        <v>88.8</v>
      </c>
      <c r="F73">
        <v>0.2</v>
      </c>
    </row>
    <row r="74" spans="1:6" x14ac:dyDescent="0.25">
      <c r="A74" t="s">
        <v>25</v>
      </c>
      <c r="B74" t="s">
        <v>87</v>
      </c>
      <c r="C74">
        <v>56</v>
      </c>
      <c r="D74">
        <v>80.400000000000006</v>
      </c>
      <c r="E74">
        <v>80.400000000000006</v>
      </c>
      <c r="F74">
        <v>0</v>
      </c>
    </row>
    <row r="75" spans="1:6" x14ac:dyDescent="0.25">
      <c r="A75" t="s">
        <v>8</v>
      </c>
      <c r="B75" t="s">
        <v>88</v>
      </c>
      <c r="C75">
        <v>78</v>
      </c>
      <c r="D75">
        <v>79.5</v>
      </c>
      <c r="E75">
        <v>79.8</v>
      </c>
      <c r="F75">
        <v>-0.3</v>
      </c>
    </row>
    <row r="76" spans="1:6" x14ac:dyDescent="0.25">
      <c r="A76" t="s">
        <v>21</v>
      </c>
      <c r="B76" t="s">
        <v>89</v>
      </c>
      <c r="C76">
        <v>155</v>
      </c>
      <c r="D76">
        <v>88.4</v>
      </c>
      <c r="E76">
        <v>88.8</v>
      </c>
      <c r="F76">
        <v>-0.4</v>
      </c>
    </row>
    <row r="77" spans="1:6" x14ac:dyDescent="0.25">
      <c r="A77" t="s">
        <v>21</v>
      </c>
      <c r="B77" t="s">
        <v>90</v>
      </c>
      <c r="C77">
        <v>43</v>
      </c>
      <c r="D77">
        <v>88.4</v>
      </c>
      <c r="E77">
        <v>88.8</v>
      </c>
      <c r="F77">
        <v>-0.4</v>
      </c>
    </row>
    <row r="78" spans="1:6" x14ac:dyDescent="0.25">
      <c r="A78" t="s">
        <v>14</v>
      </c>
      <c r="B78" t="s">
        <v>91</v>
      </c>
      <c r="C78">
        <v>331</v>
      </c>
      <c r="D78">
        <v>81.3</v>
      </c>
      <c r="E78">
        <v>81.900000000000006</v>
      </c>
      <c r="F78">
        <v>-0.6</v>
      </c>
    </row>
    <row r="79" spans="1:6" x14ac:dyDescent="0.25">
      <c r="A79" t="s">
        <v>8</v>
      </c>
      <c r="B79" t="s">
        <v>92</v>
      </c>
      <c r="C79">
        <v>106</v>
      </c>
      <c r="D79">
        <v>79.2</v>
      </c>
      <c r="E79">
        <v>79.8</v>
      </c>
      <c r="F79">
        <v>-0.6</v>
      </c>
    </row>
    <row r="80" spans="1:6" x14ac:dyDescent="0.25">
      <c r="A80" t="s">
        <v>25</v>
      </c>
      <c r="B80" t="s">
        <v>93</v>
      </c>
      <c r="C80">
        <v>74</v>
      </c>
      <c r="D80">
        <v>79.7</v>
      </c>
      <c r="E80">
        <v>80.400000000000006</v>
      </c>
      <c r="F80">
        <v>-0.7</v>
      </c>
    </row>
    <row r="81" spans="1:6" x14ac:dyDescent="0.25">
      <c r="A81" t="s">
        <v>8</v>
      </c>
      <c r="B81" t="s">
        <v>94</v>
      </c>
      <c r="C81">
        <v>62</v>
      </c>
      <c r="D81">
        <v>79</v>
      </c>
      <c r="E81">
        <v>79.8</v>
      </c>
      <c r="F81">
        <v>-0.8</v>
      </c>
    </row>
    <row r="82" spans="1:6" x14ac:dyDescent="0.25">
      <c r="A82" t="s">
        <v>51</v>
      </c>
      <c r="B82" t="s">
        <v>95</v>
      </c>
      <c r="C82">
        <v>63</v>
      </c>
      <c r="D82">
        <v>90.5</v>
      </c>
      <c r="E82">
        <v>91.5</v>
      </c>
      <c r="F82">
        <v>-1</v>
      </c>
    </row>
    <row r="83" spans="1:6" x14ac:dyDescent="0.25">
      <c r="A83" t="s">
        <v>16</v>
      </c>
      <c r="B83" t="s">
        <v>96</v>
      </c>
      <c r="C83">
        <v>34</v>
      </c>
      <c r="D83">
        <v>88.2</v>
      </c>
      <c r="E83">
        <v>89.3</v>
      </c>
      <c r="F83">
        <v>-1.1000000000000001</v>
      </c>
    </row>
    <row r="84" spans="1:6" x14ac:dyDescent="0.25">
      <c r="A84" t="s">
        <v>12</v>
      </c>
      <c r="B84" t="s">
        <v>97</v>
      </c>
      <c r="C84">
        <v>246</v>
      </c>
      <c r="D84">
        <v>76.400000000000006</v>
      </c>
      <c r="E84">
        <v>77.7</v>
      </c>
      <c r="F84">
        <v>-1.3</v>
      </c>
    </row>
    <row r="85" spans="1:6" x14ac:dyDescent="0.25">
      <c r="A85" t="s">
        <v>51</v>
      </c>
      <c r="B85" t="s">
        <v>98</v>
      </c>
      <c r="C85">
        <v>51</v>
      </c>
      <c r="D85">
        <v>90.2</v>
      </c>
      <c r="E85">
        <v>91.5</v>
      </c>
      <c r="F85">
        <v>-1.3</v>
      </c>
    </row>
    <row r="86" spans="1:6" x14ac:dyDescent="0.25">
      <c r="A86" t="s">
        <v>6</v>
      </c>
      <c r="B86" t="s">
        <v>99</v>
      </c>
      <c r="C86">
        <v>69</v>
      </c>
      <c r="D86">
        <v>78.3</v>
      </c>
      <c r="E86">
        <v>79.7</v>
      </c>
      <c r="F86">
        <v>-1.4</v>
      </c>
    </row>
    <row r="87" spans="1:6" x14ac:dyDescent="0.25">
      <c r="A87" t="s">
        <v>51</v>
      </c>
      <c r="B87" t="s">
        <v>100</v>
      </c>
      <c r="C87">
        <v>91</v>
      </c>
      <c r="D87">
        <v>90.1</v>
      </c>
      <c r="E87">
        <v>91.5</v>
      </c>
      <c r="F87">
        <v>-1.4</v>
      </c>
    </row>
    <row r="88" spans="1:6" x14ac:dyDescent="0.25">
      <c r="A88" t="s">
        <v>8</v>
      </c>
      <c r="B88" t="s">
        <v>101</v>
      </c>
      <c r="C88">
        <v>23</v>
      </c>
      <c r="D88">
        <v>78.3</v>
      </c>
      <c r="E88">
        <v>79.8</v>
      </c>
      <c r="F88">
        <v>-1.5</v>
      </c>
    </row>
    <row r="89" spans="1:6" x14ac:dyDescent="0.25">
      <c r="A89" t="s">
        <v>51</v>
      </c>
      <c r="B89" t="s">
        <v>102</v>
      </c>
      <c r="C89">
        <v>39</v>
      </c>
      <c r="D89">
        <v>89.7</v>
      </c>
      <c r="E89">
        <v>91.5</v>
      </c>
      <c r="F89">
        <v>-1.8</v>
      </c>
    </row>
    <row r="90" spans="1:6" x14ac:dyDescent="0.25">
      <c r="A90" t="s">
        <v>16</v>
      </c>
      <c r="B90" t="s">
        <v>103</v>
      </c>
      <c r="C90">
        <v>24</v>
      </c>
      <c r="D90">
        <v>87.5</v>
      </c>
      <c r="E90">
        <v>89.3</v>
      </c>
      <c r="F90">
        <v>-1.8</v>
      </c>
    </row>
    <row r="91" spans="1:6" x14ac:dyDescent="0.25">
      <c r="A91" t="s">
        <v>25</v>
      </c>
      <c r="B91" t="s">
        <v>104</v>
      </c>
      <c r="C91">
        <v>120</v>
      </c>
      <c r="D91">
        <v>78.3</v>
      </c>
      <c r="E91">
        <v>80.400000000000006</v>
      </c>
      <c r="F91">
        <v>-2.1</v>
      </c>
    </row>
    <row r="92" spans="1:6" x14ac:dyDescent="0.25">
      <c r="A92" t="s">
        <v>25</v>
      </c>
      <c r="B92" t="s">
        <v>105</v>
      </c>
      <c r="C92">
        <v>138</v>
      </c>
      <c r="D92">
        <v>78.3</v>
      </c>
      <c r="E92">
        <v>80.400000000000006</v>
      </c>
      <c r="F92">
        <v>-2.1</v>
      </c>
    </row>
    <row r="93" spans="1:6" x14ac:dyDescent="0.25">
      <c r="A93" t="s">
        <v>8</v>
      </c>
      <c r="B93" t="s">
        <v>106</v>
      </c>
      <c r="C93">
        <v>40</v>
      </c>
      <c r="D93">
        <v>77.5</v>
      </c>
      <c r="E93">
        <v>79.8</v>
      </c>
      <c r="F93">
        <v>-2.2999999999999998</v>
      </c>
    </row>
    <row r="94" spans="1:6" x14ac:dyDescent="0.25">
      <c r="A94" t="s">
        <v>16</v>
      </c>
      <c r="B94" t="s">
        <v>107</v>
      </c>
      <c r="C94">
        <v>69</v>
      </c>
      <c r="D94">
        <v>87</v>
      </c>
      <c r="E94">
        <v>89.3</v>
      </c>
      <c r="F94">
        <v>-2.2999999999999998</v>
      </c>
    </row>
    <row r="95" spans="1:6" x14ac:dyDescent="0.25">
      <c r="A95" t="s">
        <v>25</v>
      </c>
      <c r="B95" t="s">
        <v>108</v>
      </c>
      <c r="C95">
        <v>41</v>
      </c>
      <c r="D95">
        <v>78</v>
      </c>
      <c r="E95">
        <v>80.400000000000006</v>
      </c>
      <c r="F95">
        <v>-2.4</v>
      </c>
    </row>
    <row r="96" spans="1:6" x14ac:dyDescent="0.25">
      <c r="A96" t="s">
        <v>6</v>
      </c>
      <c r="B96" t="s">
        <v>109</v>
      </c>
      <c r="C96">
        <v>215</v>
      </c>
      <c r="D96">
        <v>77.2</v>
      </c>
      <c r="E96">
        <v>79.7</v>
      </c>
      <c r="F96">
        <v>-2.5</v>
      </c>
    </row>
    <row r="97" spans="1:6" x14ac:dyDescent="0.25">
      <c r="A97" t="s">
        <v>25</v>
      </c>
      <c r="B97" t="s">
        <v>110</v>
      </c>
      <c r="C97">
        <v>130</v>
      </c>
      <c r="D97">
        <v>77.7</v>
      </c>
      <c r="E97">
        <v>80.400000000000006</v>
      </c>
      <c r="F97">
        <v>-2.7</v>
      </c>
    </row>
    <row r="98" spans="1:6" x14ac:dyDescent="0.25">
      <c r="A98" t="s">
        <v>42</v>
      </c>
      <c r="B98" t="s">
        <v>111</v>
      </c>
      <c r="C98">
        <v>260</v>
      </c>
      <c r="D98">
        <v>76.900000000000006</v>
      </c>
      <c r="E98">
        <v>79.7</v>
      </c>
      <c r="F98">
        <v>-2.8</v>
      </c>
    </row>
    <row r="99" spans="1:6" x14ac:dyDescent="0.25">
      <c r="A99" t="s">
        <v>16</v>
      </c>
      <c r="B99" t="s">
        <v>112</v>
      </c>
      <c r="C99">
        <v>44</v>
      </c>
      <c r="D99">
        <v>86.4</v>
      </c>
      <c r="E99">
        <v>89.3</v>
      </c>
      <c r="F99">
        <v>-2.9</v>
      </c>
    </row>
    <row r="100" spans="1:6" x14ac:dyDescent="0.25">
      <c r="A100" t="s">
        <v>6</v>
      </c>
      <c r="B100" t="s">
        <v>113</v>
      </c>
      <c r="C100">
        <v>56</v>
      </c>
      <c r="D100">
        <v>76.8</v>
      </c>
      <c r="E100">
        <v>79.7</v>
      </c>
      <c r="F100">
        <v>-2.9</v>
      </c>
    </row>
    <row r="101" spans="1:6" x14ac:dyDescent="0.25">
      <c r="A101" t="s">
        <v>14</v>
      </c>
      <c r="B101" t="s">
        <v>114</v>
      </c>
      <c r="C101">
        <v>456</v>
      </c>
      <c r="D101">
        <v>78.900000000000006</v>
      </c>
      <c r="E101">
        <v>81.900000000000006</v>
      </c>
      <c r="F101">
        <v>-3</v>
      </c>
    </row>
    <row r="102" spans="1:6" x14ac:dyDescent="0.25">
      <c r="A102" t="s">
        <v>8</v>
      </c>
      <c r="B102" t="s">
        <v>115</v>
      </c>
      <c r="C102">
        <v>94</v>
      </c>
      <c r="D102">
        <v>76.599999999999994</v>
      </c>
      <c r="E102">
        <v>79.8</v>
      </c>
      <c r="F102">
        <v>-3.2</v>
      </c>
    </row>
    <row r="103" spans="1:6" x14ac:dyDescent="0.25">
      <c r="A103" t="s">
        <v>21</v>
      </c>
      <c r="B103" t="s">
        <v>116</v>
      </c>
      <c r="C103">
        <v>187</v>
      </c>
      <c r="D103">
        <v>85.6</v>
      </c>
      <c r="E103">
        <v>88.8</v>
      </c>
      <c r="F103">
        <v>-3.2</v>
      </c>
    </row>
    <row r="104" spans="1:6" x14ac:dyDescent="0.25">
      <c r="A104" t="s">
        <v>42</v>
      </c>
      <c r="B104" t="s">
        <v>117</v>
      </c>
      <c r="C104">
        <v>72</v>
      </c>
      <c r="D104">
        <v>76.400000000000006</v>
      </c>
      <c r="E104">
        <v>79.7</v>
      </c>
      <c r="F104">
        <v>-3.3</v>
      </c>
    </row>
    <row r="105" spans="1:6" x14ac:dyDescent="0.25">
      <c r="A105" t="s">
        <v>16</v>
      </c>
      <c r="B105" t="s">
        <v>118</v>
      </c>
      <c r="C105">
        <v>71</v>
      </c>
      <c r="D105">
        <v>85.9</v>
      </c>
      <c r="E105">
        <v>89.3</v>
      </c>
      <c r="F105">
        <v>-3.4</v>
      </c>
    </row>
    <row r="106" spans="1:6" x14ac:dyDescent="0.25">
      <c r="A106" t="s">
        <v>16</v>
      </c>
      <c r="B106" t="s">
        <v>119</v>
      </c>
      <c r="C106">
        <v>35</v>
      </c>
      <c r="D106">
        <v>85.7</v>
      </c>
      <c r="E106">
        <v>89.3</v>
      </c>
      <c r="F106">
        <v>-3.6</v>
      </c>
    </row>
    <row r="107" spans="1:6" x14ac:dyDescent="0.25">
      <c r="A107" t="s">
        <v>12</v>
      </c>
      <c r="B107" t="s">
        <v>120</v>
      </c>
      <c r="C107">
        <v>79</v>
      </c>
      <c r="D107">
        <v>73.400000000000006</v>
      </c>
      <c r="E107">
        <v>77.7</v>
      </c>
      <c r="F107">
        <v>-4.3</v>
      </c>
    </row>
    <row r="108" spans="1:6" x14ac:dyDescent="0.25">
      <c r="A108" t="s">
        <v>42</v>
      </c>
      <c r="B108" t="s">
        <v>121</v>
      </c>
      <c r="C108">
        <v>64</v>
      </c>
      <c r="D108">
        <v>75</v>
      </c>
      <c r="E108">
        <v>79.7</v>
      </c>
      <c r="F108">
        <v>-4.7</v>
      </c>
    </row>
    <row r="109" spans="1:6" x14ac:dyDescent="0.25">
      <c r="A109" t="s">
        <v>6</v>
      </c>
      <c r="B109" t="s">
        <v>122</v>
      </c>
      <c r="C109">
        <v>32</v>
      </c>
      <c r="D109">
        <v>75</v>
      </c>
      <c r="E109">
        <v>79.7</v>
      </c>
      <c r="F109">
        <v>-4.7</v>
      </c>
    </row>
    <row r="110" spans="1:6" x14ac:dyDescent="0.25">
      <c r="A110" t="s">
        <v>8</v>
      </c>
      <c r="B110" t="s">
        <v>123</v>
      </c>
      <c r="C110">
        <v>24</v>
      </c>
      <c r="D110">
        <v>75</v>
      </c>
      <c r="E110">
        <v>79.8</v>
      </c>
      <c r="F110">
        <v>-4.8</v>
      </c>
    </row>
    <row r="111" spans="1:6" x14ac:dyDescent="0.25">
      <c r="A111" t="s">
        <v>21</v>
      </c>
      <c r="B111" t="s">
        <v>124</v>
      </c>
      <c r="C111">
        <v>49</v>
      </c>
      <c r="D111">
        <v>83.7</v>
      </c>
      <c r="E111">
        <v>88.8</v>
      </c>
      <c r="F111">
        <v>-5.0999999999999996</v>
      </c>
    </row>
    <row r="112" spans="1:6" x14ac:dyDescent="0.25">
      <c r="A112" t="s">
        <v>25</v>
      </c>
      <c r="B112" t="s">
        <v>125</v>
      </c>
      <c r="C112">
        <v>88</v>
      </c>
      <c r="D112">
        <v>75</v>
      </c>
      <c r="E112">
        <v>80.400000000000006</v>
      </c>
      <c r="F112">
        <v>-5.4</v>
      </c>
    </row>
    <row r="113" spans="1:6" x14ac:dyDescent="0.25">
      <c r="A113" t="s">
        <v>8</v>
      </c>
      <c r="B113" t="s">
        <v>126</v>
      </c>
      <c r="C113">
        <v>74</v>
      </c>
      <c r="D113">
        <v>74.3</v>
      </c>
      <c r="E113">
        <v>79.8</v>
      </c>
      <c r="F113">
        <v>-5.5</v>
      </c>
    </row>
    <row r="114" spans="1:6" x14ac:dyDescent="0.25">
      <c r="A114" t="s">
        <v>51</v>
      </c>
      <c r="B114" t="s">
        <v>127</v>
      </c>
      <c r="C114">
        <v>28</v>
      </c>
      <c r="D114">
        <v>85.7</v>
      </c>
      <c r="E114">
        <v>91.5</v>
      </c>
      <c r="F114">
        <v>-5.8</v>
      </c>
    </row>
    <row r="115" spans="1:6" x14ac:dyDescent="0.25">
      <c r="A115" t="s">
        <v>14</v>
      </c>
      <c r="B115" t="s">
        <v>128</v>
      </c>
      <c r="C115">
        <v>29</v>
      </c>
      <c r="D115">
        <v>75.900000000000006</v>
      </c>
      <c r="E115">
        <v>81.900000000000006</v>
      </c>
      <c r="F115">
        <v>-6</v>
      </c>
    </row>
    <row r="116" spans="1:6" x14ac:dyDescent="0.25">
      <c r="A116" t="s">
        <v>25</v>
      </c>
      <c r="B116" t="s">
        <v>129</v>
      </c>
      <c r="C116">
        <v>101</v>
      </c>
      <c r="D116">
        <v>74.3</v>
      </c>
      <c r="E116">
        <v>80.400000000000006</v>
      </c>
      <c r="F116">
        <v>-6.1</v>
      </c>
    </row>
    <row r="117" spans="1:6" x14ac:dyDescent="0.25">
      <c r="A117" t="s">
        <v>51</v>
      </c>
      <c r="B117" t="s">
        <v>130</v>
      </c>
      <c r="C117">
        <v>41</v>
      </c>
      <c r="D117">
        <v>85.4</v>
      </c>
      <c r="E117">
        <v>91.5</v>
      </c>
      <c r="F117">
        <v>-6.1</v>
      </c>
    </row>
    <row r="118" spans="1:6" x14ac:dyDescent="0.25">
      <c r="A118" t="s">
        <v>16</v>
      </c>
      <c r="B118" t="s">
        <v>131</v>
      </c>
      <c r="C118">
        <v>41</v>
      </c>
      <c r="D118">
        <v>82.9</v>
      </c>
      <c r="E118">
        <v>89.3</v>
      </c>
      <c r="F118">
        <v>-6.4</v>
      </c>
    </row>
    <row r="119" spans="1:6" x14ac:dyDescent="0.25">
      <c r="A119" t="s">
        <v>16</v>
      </c>
      <c r="B119" t="s">
        <v>132</v>
      </c>
      <c r="C119">
        <v>73</v>
      </c>
      <c r="D119">
        <v>82.2</v>
      </c>
      <c r="E119">
        <v>89.3</v>
      </c>
      <c r="F119">
        <v>-7.1</v>
      </c>
    </row>
    <row r="120" spans="1:6" x14ac:dyDescent="0.25">
      <c r="A120" t="s">
        <v>21</v>
      </c>
      <c r="B120" t="s">
        <v>133</v>
      </c>
      <c r="C120">
        <v>192</v>
      </c>
      <c r="D120">
        <v>81.3</v>
      </c>
      <c r="E120">
        <v>88.8</v>
      </c>
      <c r="F120">
        <v>-7.5</v>
      </c>
    </row>
    <row r="121" spans="1:6" x14ac:dyDescent="0.25">
      <c r="A121" t="s">
        <v>25</v>
      </c>
      <c r="B121" t="s">
        <v>134</v>
      </c>
      <c r="C121">
        <v>70</v>
      </c>
      <c r="D121">
        <v>72.900000000000006</v>
      </c>
      <c r="E121">
        <v>80.400000000000006</v>
      </c>
      <c r="F121">
        <v>-7.5</v>
      </c>
    </row>
    <row r="122" spans="1:6" x14ac:dyDescent="0.25">
      <c r="A122" t="s">
        <v>21</v>
      </c>
      <c r="B122" t="s">
        <v>135</v>
      </c>
      <c r="C122">
        <v>69</v>
      </c>
      <c r="D122">
        <v>81.2</v>
      </c>
      <c r="E122">
        <v>88.8</v>
      </c>
      <c r="F122">
        <v>-7.6</v>
      </c>
    </row>
    <row r="123" spans="1:6" x14ac:dyDescent="0.25">
      <c r="A123" t="s">
        <v>12</v>
      </c>
      <c r="B123" t="s">
        <v>136</v>
      </c>
      <c r="C123">
        <v>83</v>
      </c>
      <c r="D123">
        <v>69.900000000000006</v>
      </c>
      <c r="E123">
        <v>77.7</v>
      </c>
      <c r="F123">
        <v>-7.8</v>
      </c>
    </row>
    <row r="124" spans="1:6" x14ac:dyDescent="0.25">
      <c r="A124" t="s">
        <v>8</v>
      </c>
      <c r="B124" t="s">
        <v>137</v>
      </c>
      <c r="C124">
        <v>60</v>
      </c>
      <c r="D124">
        <v>71.7</v>
      </c>
      <c r="E124">
        <v>79.8</v>
      </c>
      <c r="F124">
        <v>-8.1</v>
      </c>
    </row>
    <row r="125" spans="1:6" x14ac:dyDescent="0.25">
      <c r="A125" t="s">
        <v>8</v>
      </c>
      <c r="B125" t="s">
        <v>138</v>
      </c>
      <c r="C125">
        <v>103</v>
      </c>
      <c r="D125">
        <v>70.900000000000006</v>
      </c>
      <c r="E125">
        <v>79.8</v>
      </c>
      <c r="F125">
        <v>-8.9</v>
      </c>
    </row>
    <row r="126" spans="1:6" x14ac:dyDescent="0.25">
      <c r="A126" t="s">
        <v>8</v>
      </c>
      <c r="B126" t="s">
        <v>139</v>
      </c>
      <c r="C126">
        <v>34</v>
      </c>
      <c r="D126">
        <v>70.599999999999994</v>
      </c>
      <c r="E126">
        <v>79.8</v>
      </c>
      <c r="F126">
        <v>-9.1999999999999993</v>
      </c>
    </row>
    <row r="127" spans="1:6" x14ac:dyDescent="0.25">
      <c r="A127" t="s">
        <v>21</v>
      </c>
      <c r="B127" t="s">
        <v>140</v>
      </c>
      <c r="C127">
        <v>83</v>
      </c>
      <c r="D127">
        <v>79.5</v>
      </c>
      <c r="E127">
        <v>88.8</v>
      </c>
      <c r="F127">
        <v>-9.3000000000000007</v>
      </c>
    </row>
    <row r="128" spans="1:6" x14ac:dyDescent="0.25">
      <c r="A128" t="s">
        <v>14</v>
      </c>
      <c r="B128" t="s">
        <v>141</v>
      </c>
      <c r="C128">
        <v>29</v>
      </c>
      <c r="D128">
        <v>72.400000000000006</v>
      </c>
      <c r="E128">
        <v>81.900000000000006</v>
      </c>
      <c r="F128">
        <v>-9.5</v>
      </c>
    </row>
    <row r="129" spans="1:6" x14ac:dyDescent="0.25">
      <c r="A129" t="s">
        <v>14</v>
      </c>
      <c r="B129" t="s">
        <v>142</v>
      </c>
      <c r="C129">
        <v>114</v>
      </c>
      <c r="D129">
        <v>71.900000000000006</v>
      </c>
      <c r="E129">
        <v>81.900000000000006</v>
      </c>
      <c r="F129">
        <v>-10</v>
      </c>
    </row>
    <row r="130" spans="1:6" x14ac:dyDescent="0.25">
      <c r="A130" t="s">
        <v>42</v>
      </c>
      <c r="B130" t="s">
        <v>143</v>
      </c>
      <c r="C130">
        <v>95</v>
      </c>
      <c r="D130">
        <v>69.5</v>
      </c>
      <c r="E130">
        <v>79.7</v>
      </c>
      <c r="F130">
        <v>-10.199999999999999</v>
      </c>
    </row>
    <row r="131" spans="1:6" x14ac:dyDescent="0.25">
      <c r="A131" t="s">
        <v>14</v>
      </c>
      <c r="B131" t="s">
        <v>144</v>
      </c>
      <c r="C131">
        <v>35</v>
      </c>
      <c r="D131">
        <v>71.400000000000006</v>
      </c>
      <c r="E131">
        <v>81.900000000000006</v>
      </c>
      <c r="F131">
        <v>-10.5</v>
      </c>
    </row>
    <row r="132" spans="1:6" x14ac:dyDescent="0.25">
      <c r="A132" t="s">
        <v>14</v>
      </c>
      <c r="B132" t="s">
        <v>145</v>
      </c>
      <c r="C132">
        <v>59</v>
      </c>
      <c r="D132">
        <v>71.2</v>
      </c>
      <c r="E132">
        <v>81.900000000000006</v>
      </c>
      <c r="F132">
        <v>-10.7</v>
      </c>
    </row>
    <row r="133" spans="1:6" x14ac:dyDescent="0.25">
      <c r="A133" t="s">
        <v>12</v>
      </c>
      <c r="B133" t="s">
        <v>146</v>
      </c>
      <c r="C133">
        <v>57</v>
      </c>
      <c r="D133">
        <v>66.7</v>
      </c>
      <c r="E133">
        <v>77.7</v>
      </c>
      <c r="F133">
        <v>-11</v>
      </c>
    </row>
    <row r="134" spans="1:6" x14ac:dyDescent="0.25">
      <c r="A134" t="s">
        <v>12</v>
      </c>
      <c r="B134" t="s">
        <v>147</v>
      </c>
      <c r="C134">
        <v>63</v>
      </c>
      <c r="D134">
        <v>66.7</v>
      </c>
      <c r="E134">
        <v>77.7</v>
      </c>
      <c r="F134">
        <v>-11</v>
      </c>
    </row>
    <row r="135" spans="1:6" x14ac:dyDescent="0.25">
      <c r="A135" t="s">
        <v>14</v>
      </c>
      <c r="B135" t="s">
        <v>148</v>
      </c>
      <c r="C135">
        <v>60</v>
      </c>
      <c r="D135">
        <v>70</v>
      </c>
      <c r="E135">
        <v>81.900000000000006</v>
      </c>
      <c r="F135">
        <v>-11.9</v>
      </c>
    </row>
    <row r="136" spans="1:6" x14ac:dyDescent="0.25">
      <c r="A136" t="s">
        <v>8</v>
      </c>
      <c r="B136" t="s">
        <v>149</v>
      </c>
      <c r="C136">
        <v>78</v>
      </c>
      <c r="D136">
        <v>67.900000000000006</v>
      </c>
      <c r="E136">
        <v>79.8</v>
      </c>
      <c r="F136">
        <v>-11.9</v>
      </c>
    </row>
    <row r="137" spans="1:6" x14ac:dyDescent="0.25">
      <c r="A137" t="s">
        <v>12</v>
      </c>
      <c r="B137" t="s">
        <v>150</v>
      </c>
      <c r="C137">
        <v>68</v>
      </c>
      <c r="D137">
        <v>64.7</v>
      </c>
      <c r="E137">
        <v>77.7</v>
      </c>
      <c r="F137">
        <v>-13</v>
      </c>
    </row>
    <row r="138" spans="1:6" x14ac:dyDescent="0.25">
      <c r="A138" t="s">
        <v>6</v>
      </c>
      <c r="B138" t="s">
        <v>151</v>
      </c>
      <c r="C138">
        <v>293</v>
      </c>
      <c r="D138">
        <v>66.2</v>
      </c>
      <c r="E138">
        <v>79.7</v>
      </c>
      <c r="F138">
        <v>-13.5</v>
      </c>
    </row>
    <row r="139" spans="1:6" x14ac:dyDescent="0.25">
      <c r="A139" t="s">
        <v>16</v>
      </c>
      <c r="B139" t="s">
        <v>152</v>
      </c>
      <c r="C139">
        <v>33</v>
      </c>
      <c r="D139">
        <v>75.8</v>
      </c>
      <c r="E139">
        <v>89.3</v>
      </c>
      <c r="F139">
        <v>-13.5</v>
      </c>
    </row>
    <row r="140" spans="1:6" x14ac:dyDescent="0.25">
      <c r="A140" t="s">
        <v>16</v>
      </c>
      <c r="B140" t="s">
        <v>153</v>
      </c>
      <c r="C140">
        <v>28</v>
      </c>
      <c r="D140">
        <v>75</v>
      </c>
      <c r="E140">
        <v>89.3</v>
      </c>
      <c r="F140">
        <v>-14.3</v>
      </c>
    </row>
    <row r="141" spans="1:6" x14ac:dyDescent="0.25">
      <c r="A141" t="s">
        <v>8</v>
      </c>
      <c r="B141" t="s">
        <v>154</v>
      </c>
      <c r="C141">
        <v>54</v>
      </c>
      <c r="D141">
        <v>64.8</v>
      </c>
      <c r="E141">
        <v>79.8</v>
      </c>
      <c r="F141">
        <v>-15</v>
      </c>
    </row>
  </sheetData>
  <pageMargins left="0.7" right="0.7" top="0.75" bottom="0.75" header="0.3" footer="0.3"/>
  <tableParts count="1"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20CF9EB-C82B-453B-8518-E8FA9803AA0A}">
  <dimension ref="A1:C3"/>
  <sheetViews>
    <sheetView workbookViewId="0">
      <selection activeCell="H31" sqref="H31"/>
    </sheetView>
  </sheetViews>
  <sheetFormatPr defaultRowHeight="15" x14ac:dyDescent="0.25"/>
  <cols>
    <col min="1" max="1" width="18.85546875" bestFit="1" customWidth="1"/>
    <col min="2" max="2" width="15" bestFit="1" customWidth="1"/>
    <col min="3" max="3" width="26.140625" bestFit="1" customWidth="1"/>
  </cols>
  <sheetData>
    <row r="1" spans="1:3" x14ac:dyDescent="0.25">
      <c r="A1" t="s">
        <v>155</v>
      </c>
      <c r="B1" t="s">
        <v>2</v>
      </c>
      <c r="C1" t="s">
        <v>156</v>
      </c>
    </row>
    <row r="2" spans="1:3" x14ac:dyDescent="0.25">
      <c r="A2" t="s">
        <v>157</v>
      </c>
      <c r="B2">
        <v>3639</v>
      </c>
      <c r="C2">
        <v>70.8</v>
      </c>
    </row>
    <row r="3" spans="1:3" x14ac:dyDescent="0.25">
      <c r="A3" t="s">
        <v>158</v>
      </c>
      <c r="B3">
        <v>9809</v>
      </c>
      <c r="C3">
        <v>87</v>
      </c>
    </row>
  </sheetData>
  <pageMargins left="0.7" right="0.7" top="0.75" bottom="0.75" header="0.3" footer="0.3"/>
  <tableParts count="1">
    <tablePart r:id="rId1"/>
  </tablePart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29C51EA-9CB9-4E15-A26F-EDCC7DE7C6A5}">
  <dimension ref="A1:D5"/>
  <sheetViews>
    <sheetView workbookViewId="0">
      <selection activeCell="D32" sqref="D32"/>
    </sheetView>
  </sheetViews>
  <sheetFormatPr defaultRowHeight="15" x14ac:dyDescent="0.25"/>
  <cols>
    <col min="1" max="1" width="11.7109375" bestFit="1" customWidth="1"/>
    <col min="2" max="2" width="18" bestFit="1" customWidth="1"/>
    <col min="3" max="3" width="15" bestFit="1" customWidth="1"/>
    <col min="4" max="4" width="26.140625" bestFit="1" customWidth="1"/>
  </cols>
  <sheetData>
    <row r="1" spans="1:4" x14ac:dyDescent="0.25">
      <c r="A1" t="s">
        <v>159</v>
      </c>
      <c r="B1" t="s">
        <v>160</v>
      </c>
      <c r="C1" t="s">
        <v>2</v>
      </c>
      <c r="D1" t="s">
        <v>156</v>
      </c>
    </row>
    <row r="2" spans="1:4" x14ac:dyDescent="0.25">
      <c r="A2" t="s">
        <v>161</v>
      </c>
      <c r="B2" t="s">
        <v>162</v>
      </c>
      <c r="C2">
        <v>5900</v>
      </c>
      <c r="D2">
        <v>86.4</v>
      </c>
    </row>
    <row r="3" spans="1:4" x14ac:dyDescent="0.25">
      <c r="A3" t="s">
        <v>161</v>
      </c>
      <c r="B3" t="s">
        <v>163</v>
      </c>
      <c r="C3">
        <v>7548</v>
      </c>
      <c r="D3">
        <v>79.599999999999994</v>
      </c>
    </row>
    <row r="4" spans="1:4" x14ac:dyDescent="0.25">
      <c r="A4" t="s">
        <v>65</v>
      </c>
      <c r="B4" t="s">
        <v>163</v>
      </c>
      <c r="C4">
        <v>165</v>
      </c>
      <c r="D4">
        <v>84.8</v>
      </c>
    </row>
    <row r="5" spans="1:4" x14ac:dyDescent="0.25">
      <c r="A5" t="s">
        <v>65</v>
      </c>
      <c r="B5" t="s">
        <v>162</v>
      </c>
      <c r="C5">
        <v>150</v>
      </c>
      <c r="D5">
        <v>83.3</v>
      </c>
    </row>
  </sheetData>
  <pageMargins left="0.7" right="0.7" top="0.75" bottom="0.75" header="0.3" footer="0.3"/>
  <tableParts count="1">
    <tablePart r:id="rId1"/>
  </tableParts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592EB10-2B22-42A2-A873-ABBB226E30DA}">
  <dimension ref="A1:C5"/>
  <sheetViews>
    <sheetView workbookViewId="0">
      <selection activeCell="K23" sqref="K23"/>
    </sheetView>
  </sheetViews>
  <sheetFormatPr defaultRowHeight="15" x14ac:dyDescent="0.25"/>
  <cols>
    <col min="1" max="1" width="16.28515625" bestFit="1" customWidth="1"/>
    <col min="2" max="2" width="15" bestFit="1" customWidth="1"/>
    <col min="3" max="3" width="26.140625" bestFit="1" customWidth="1"/>
  </cols>
  <sheetData>
    <row r="1" spans="1:3" x14ac:dyDescent="0.25">
      <c r="A1" t="s">
        <v>164</v>
      </c>
      <c r="B1" t="s">
        <v>2</v>
      </c>
      <c r="C1" t="s">
        <v>156</v>
      </c>
    </row>
    <row r="2" spans="1:3" x14ac:dyDescent="0.25">
      <c r="A2" t="s">
        <v>165</v>
      </c>
      <c r="B2">
        <v>5123</v>
      </c>
      <c r="C2">
        <v>79</v>
      </c>
    </row>
    <row r="3" spans="1:3" x14ac:dyDescent="0.25">
      <c r="A3" t="s">
        <v>166</v>
      </c>
      <c r="B3">
        <v>3381</v>
      </c>
      <c r="C3">
        <v>83</v>
      </c>
    </row>
    <row r="4" spans="1:3" x14ac:dyDescent="0.25">
      <c r="A4" t="s">
        <v>167</v>
      </c>
      <c r="B4">
        <v>2648</v>
      </c>
      <c r="C4">
        <v>85</v>
      </c>
    </row>
    <row r="5" spans="1:3" x14ac:dyDescent="0.25">
      <c r="A5" t="s">
        <v>168</v>
      </c>
      <c r="B5">
        <v>2296</v>
      </c>
      <c r="C5">
        <v>87.3</v>
      </c>
    </row>
  </sheetData>
  <pageMargins left="0.7" right="0.7" top="0.75" bottom="0.75" header="0.3" footer="0.3"/>
  <tableParts count="1">
    <tablePart r:id="rId1"/>
  </tableParts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35816C2-5A82-438E-9B81-7F3689CAA019}">
  <dimension ref="A1:K2"/>
  <sheetViews>
    <sheetView workbookViewId="0">
      <selection activeCell="E33" sqref="E33"/>
    </sheetView>
  </sheetViews>
  <sheetFormatPr defaultRowHeight="15" x14ac:dyDescent="0.25"/>
  <cols>
    <col min="1" max="1" width="21.28515625" bestFit="1" customWidth="1"/>
    <col min="2" max="2" width="10.85546875" bestFit="1" customWidth="1"/>
    <col min="3" max="3" width="15.140625" bestFit="1" customWidth="1"/>
    <col min="4" max="4" width="12.42578125" bestFit="1" customWidth="1"/>
    <col min="5" max="5" width="17.140625" bestFit="1" customWidth="1"/>
    <col min="6" max="6" width="14.42578125" bestFit="1" customWidth="1"/>
    <col min="7" max="7" width="14.5703125" bestFit="1" customWidth="1"/>
    <col min="8" max="8" width="19" bestFit="1" customWidth="1"/>
    <col min="9" max="9" width="16.28515625" bestFit="1" customWidth="1"/>
    <col min="10" max="10" width="21" bestFit="1" customWidth="1"/>
    <col min="11" max="11" width="18.28515625" bestFit="1" customWidth="1"/>
  </cols>
  <sheetData>
    <row r="1" spans="1:11" x14ac:dyDescent="0.25">
      <c r="A1" t="s">
        <v>169</v>
      </c>
      <c r="B1" t="s">
        <v>170</v>
      </c>
      <c r="C1" t="s">
        <v>171</v>
      </c>
      <c r="D1" t="s">
        <v>172</v>
      </c>
      <c r="E1" t="s">
        <v>173</v>
      </c>
      <c r="F1" t="s">
        <v>174</v>
      </c>
      <c r="G1" t="s">
        <v>175</v>
      </c>
      <c r="H1" t="s">
        <v>176</v>
      </c>
      <c r="I1" t="s">
        <v>177</v>
      </c>
      <c r="J1" t="s">
        <v>178</v>
      </c>
      <c r="K1" t="s">
        <v>179</v>
      </c>
    </row>
    <row r="2" spans="1:11" x14ac:dyDescent="0.25">
      <c r="A2">
        <v>2342</v>
      </c>
      <c r="B2">
        <v>2180</v>
      </c>
      <c r="C2">
        <v>1057</v>
      </c>
      <c r="D2">
        <v>514</v>
      </c>
      <c r="E2">
        <v>724</v>
      </c>
      <c r="F2">
        <v>2299</v>
      </c>
      <c r="G2">
        <v>93.1</v>
      </c>
      <c r="H2">
        <v>45.1</v>
      </c>
      <c r="I2">
        <v>21.9</v>
      </c>
      <c r="J2">
        <v>30.9</v>
      </c>
      <c r="K2">
        <v>98.2</v>
      </c>
    </row>
  </sheetData>
  <pageMargins left="0.7" right="0.7" top="0.75" bottom="0.75" header="0.3" footer="0.3"/>
  <tableParts count="1">
    <tablePart r:id="rId1"/>
  </tableParts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9F22E94-406A-4106-9F53-6E8B7B1F5FF2}">
  <dimension ref="A1:C6"/>
  <sheetViews>
    <sheetView workbookViewId="0">
      <selection activeCell="J24" sqref="J24"/>
    </sheetView>
  </sheetViews>
  <sheetFormatPr defaultRowHeight="15" x14ac:dyDescent="0.25"/>
  <cols>
    <col min="1" max="1" width="12.140625" bestFit="1" customWidth="1"/>
    <col min="2" max="2" width="15" bestFit="1" customWidth="1"/>
    <col min="3" max="3" width="26.140625" bestFit="1" customWidth="1"/>
  </cols>
  <sheetData>
    <row r="1" spans="1:3" x14ac:dyDescent="0.25">
      <c r="A1" t="s">
        <v>180</v>
      </c>
      <c r="B1" t="s">
        <v>2</v>
      </c>
      <c r="C1" t="s">
        <v>156</v>
      </c>
    </row>
    <row r="2" spans="1:3" x14ac:dyDescent="0.25">
      <c r="A2" t="s">
        <v>181</v>
      </c>
      <c r="B2">
        <v>3735</v>
      </c>
      <c r="C2">
        <v>88.2</v>
      </c>
    </row>
    <row r="3" spans="1:3" x14ac:dyDescent="0.25">
      <c r="A3" t="s">
        <v>182</v>
      </c>
      <c r="B3">
        <v>3373</v>
      </c>
      <c r="C3">
        <v>81.400000000000006</v>
      </c>
    </row>
    <row r="4" spans="1:3" x14ac:dyDescent="0.25">
      <c r="A4" t="s">
        <v>183</v>
      </c>
      <c r="B4">
        <v>4137</v>
      </c>
      <c r="C4">
        <v>79.7</v>
      </c>
    </row>
    <row r="5" spans="1:3" x14ac:dyDescent="0.25">
      <c r="A5" t="s">
        <v>184</v>
      </c>
      <c r="B5">
        <v>2202</v>
      </c>
      <c r="C5">
        <v>80.099999999999994</v>
      </c>
    </row>
    <row r="6" spans="1:3" x14ac:dyDescent="0.25">
      <c r="A6" t="s">
        <v>185</v>
      </c>
      <c r="B6">
        <v>1</v>
      </c>
      <c r="C6">
        <v>100</v>
      </c>
    </row>
  </sheetData>
  <pageMargins left="0.7" right="0.7" top="0.75" bottom="0.75" header="0.3" footer="0.3"/>
  <tableParts count="1">
    <tablePart r:id="rId1"/>
  </tableParts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11E87AF-0966-46C2-B310-DA65153F7386}">
  <dimension ref="A1:D5"/>
  <sheetViews>
    <sheetView workbookViewId="0">
      <selection activeCell="A29" sqref="A29"/>
    </sheetView>
  </sheetViews>
  <sheetFormatPr defaultRowHeight="15" x14ac:dyDescent="0.25"/>
  <cols>
    <col min="1" max="1" width="11.7109375" bestFit="1" customWidth="1"/>
    <col min="2" max="2" width="13.28515625" bestFit="1" customWidth="1"/>
    <col min="3" max="3" width="15" bestFit="1" customWidth="1"/>
    <col min="4" max="4" width="26.140625" bestFit="1" customWidth="1"/>
  </cols>
  <sheetData>
    <row r="1" spans="1:4" x14ac:dyDescent="0.25">
      <c r="A1" t="s">
        <v>159</v>
      </c>
      <c r="B1" t="s">
        <v>186</v>
      </c>
      <c r="C1" t="s">
        <v>2</v>
      </c>
      <c r="D1" t="s">
        <v>156</v>
      </c>
    </row>
    <row r="2" spans="1:4" x14ac:dyDescent="0.25">
      <c r="A2" t="s">
        <v>161</v>
      </c>
      <c r="B2" t="s">
        <v>187</v>
      </c>
      <c r="C2">
        <v>9465</v>
      </c>
      <c r="D2">
        <v>83.7</v>
      </c>
    </row>
    <row r="3" spans="1:4" x14ac:dyDescent="0.25">
      <c r="A3" t="s">
        <v>161</v>
      </c>
      <c r="B3" t="s">
        <v>188</v>
      </c>
      <c r="C3">
        <v>3983</v>
      </c>
      <c r="D3">
        <v>80</v>
      </c>
    </row>
    <row r="4" spans="1:4" x14ac:dyDescent="0.25">
      <c r="A4" t="s">
        <v>65</v>
      </c>
      <c r="B4" t="s">
        <v>187</v>
      </c>
      <c r="C4">
        <v>207</v>
      </c>
      <c r="D4">
        <v>84.5</v>
      </c>
    </row>
    <row r="5" spans="1:4" x14ac:dyDescent="0.25">
      <c r="A5" t="s">
        <v>65</v>
      </c>
      <c r="B5" t="s">
        <v>188</v>
      </c>
      <c r="C5">
        <v>108</v>
      </c>
      <c r="D5">
        <v>83.3</v>
      </c>
    </row>
  </sheetData>
  <pageMargins left="0.7" right="0.7" top="0.75" bottom="0.75" header="0.3" footer="0.3"/>
  <tableParts count="1">
    <tablePart r:id="rId1"/>
  </tableParts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686C914-3505-46BE-93E3-0A1BF8BF1209}">
  <dimension ref="A1:D10"/>
  <sheetViews>
    <sheetView workbookViewId="0">
      <selection activeCell="B1" sqref="B1"/>
    </sheetView>
  </sheetViews>
  <sheetFormatPr defaultRowHeight="15" x14ac:dyDescent="0.25"/>
  <cols>
    <col min="1" max="1" width="24.5703125" bestFit="1" customWidth="1"/>
    <col min="2" max="2" width="15" bestFit="1" customWidth="1"/>
    <col min="3" max="3" width="26.140625" bestFit="1" customWidth="1"/>
    <col min="4" max="4" width="15.5703125" bestFit="1" customWidth="1"/>
  </cols>
  <sheetData>
    <row r="1" spans="1:4" x14ac:dyDescent="0.25">
      <c r="A1" t="s">
        <v>0</v>
      </c>
      <c r="B1" t="s">
        <v>2</v>
      </c>
      <c r="C1" t="s">
        <v>156</v>
      </c>
      <c r="D1" t="s">
        <v>189</v>
      </c>
    </row>
    <row r="2" spans="1:4" x14ac:dyDescent="0.25">
      <c r="A2" t="s">
        <v>51</v>
      </c>
      <c r="B2">
        <v>685</v>
      </c>
      <c r="C2">
        <v>91.5</v>
      </c>
      <c r="D2">
        <v>1</v>
      </c>
    </row>
    <row r="3" spans="1:4" x14ac:dyDescent="0.25">
      <c r="A3" t="s">
        <v>16</v>
      </c>
      <c r="B3">
        <v>1162</v>
      </c>
      <c r="C3">
        <v>89.3</v>
      </c>
      <c r="D3">
        <v>2</v>
      </c>
    </row>
    <row r="4" spans="1:4" x14ac:dyDescent="0.25">
      <c r="A4" t="s">
        <v>21</v>
      </c>
      <c r="B4">
        <v>1725</v>
      </c>
      <c r="C4">
        <v>88.8</v>
      </c>
      <c r="D4">
        <v>3</v>
      </c>
    </row>
    <row r="5" spans="1:4" x14ac:dyDescent="0.25">
      <c r="A5" t="s">
        <v>14</v>
      </c>
      <c r="B5">
        <v>2530</v>
      </c>
      <c r="C5">
        <v>81.900000000000006</v>
      </c>
      <c r="D5">
        <v>4</v>
      </c>
    </row>
    <row r="6" spans="1:4" x14ac:dyDescent="0.25">
      <c r="A6" t="s">
        <v>25</v>
      </c>
      <c r="B6">
        <v>1339</v>
      </c>
      <c r="C6">
        <v>80.400000000000006</v>
      </c>
      <c r="D6">
        <v>5</v>
      </c>
    </row>
    <row r="7" spans="1:4" x14ac:dyDescent="0.25">
      <c r="A7" t="s">
        <v>8</v>
      </c>
      <c r="B7">
        <v>1711</v>
      </c>
      <c r="C7">
        <v>79.8</v>
      </c>
      <c r="D7">
        <v>6</v>
      </c>
    </row>
    <row r="8" spans="1:4" x14ac:dyDescent="0.25">
      <c r="A8" t="s">
        <v>42</v>
      </c>
      <c r="B8">
        <v>1318</v>
      </c>
      <c r="C8">
        <v>79.7</v>
      </c>
      <c r="D8">
        <v>7</v>
      </c>
    </row>
    <row r="9" spans="1:4" x14ac:dyDescent="0.25">
      <c r="A9" t="s">
        <v>6</v>
      </c>
      <c r="B9">
        <v>1458</v>
      </c>
      <c r="C9">
        <v>79.7</v>
      </c>
      <c r="D9">
        <v>7</v>
      </c>
    </row>
    <row r="10" spans="1:4" x14ac:dyDescent="0.25">
      <c r="A10" t="s">
        <v>12</v>
      </c>
      <c r="B10">
        <v>1495</v>
      </c>
      <c r="C10">
        <v>77.7</v>
      </c>
      <c r="D10">
        <v>9</v>
      </c>
    </row>
  </sheetData>
  <pageMargins left="0.7" right="0.7" top="0.75" bottom="0.75" header="0.3" footer="0.3"/>
  <tableParts count="1">
    <tablePart r:id="rId1"/>
  </tableParts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6F9CD38-A471-45E6-8262-1E6E19D3AD85}">
  <dimension ref="A1:E5"/>
  <sheetViews>
    <sheetView workbookViewId="0"/>
  </sheetViews>
  <sheetFormatPr defaultRowHeight="15" x14ac:dyDescent="0.25"/>
  <cols>
    <col min="1" max="1" width="21" bestFit="1" customWidth="1"/>
    <col min="2" max="2" width="17.5703125" bestFit="1" customWidth="1"/>
    <col min="3" max="3" width="14.140625" bestFit="1" customWidth="1"/>
    <col min="4" max="4" width="13.7109375" bestFit="1" customWidth="1"/>
    <col min="5" max="5" width="10.42578125" bestFit="1" customWidth="1"/>
  </cols>
  <sheetData>
    <row r="1" spans="1:5" x14ac:dyDescent="0.25">
      <c r="A1" t="s">
        <v>190</v>
      </c>
      <c r="B1" t="s">
        <v>191</v>
      </c>
      <c r="C1" t="s">
        <v>192</v>
      </c>
      <c r="D1" t="s">
        <v>193</v>
      </c>
      <c r="E1" t="s">
        <v>194</v>
      </c>
    </row>
    <row r="2" spans="1:5" x14ac:dyDescent="0.25">
      <c r="A2" t="s">
        <v>195</v>
      </c>
      <c r="B2">
        <v>10493</v>
      </c>
      <c r="C2">
        <v>78</v>
      </c>
      <c r="D2">
        <v>254</v>
      </c>
      <c r="E2">
        <v>80.599999999999994</v>
      </c>
    </row>
    <row r="3" spans="1:5" x14ac:dyDescent="0.25">
      <c r="A3" t="s">
        <v>196</v>
      </c>
      <c r="B3">
        <v>2248</v>
      </c>
      <c r="C3">
        <v>16.7</v>
      </c>
      <c r="D3">
        <v>50</v>
      </c>
      <c r="E3">
        <v>15.9</v>
      </c>
    </row>
    <row r="4" spans="1:5" x14ac:dyDescent="0.25">
      <c r="A4" t="s">
        <v>197</v>
      </c>
      <c r="B4">
        <v>613</v>
      </c>
      <c r="C4">
        <v>4.5999999999999996</v>
      </c>
      <c r="D4">
        <v>11</v>
      </c>
      <c r="E4">
        <v>3.5</v>
      </c>
    </row>
    <row r="5" spans="1:5" x14ac:dyDescent="0.25">
      <c r="A5" t="s">
        <v>198</v>
      </c>
      <c r="B5">
        <v>94</v>
      </c>
      <c r="C5">
        <v>0.7</v>
      </c>
      <c r="D5">
        <v>0</v>
      </c>
      <c r="E5">
        <v>0</v>
      </c>
    </row>
  </sheetData>
  <pageMargins left="0.7" right="0.7" top="0.75" bottom="0.75" header="0.3" footer="0.3"/>
  <tableParts count="1">
    <tablePart r:id="rId1"/>
  </tableParts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94DBA13-7F53-4927-9C99-A131DC8FF37C}">
  <dimension ref="A1:C3"/>
  <sheetViews>
    <sheetView workbookViewId="0"/>
  </sheetViews>
  <sheetFormatPr defaultRowHeight="15" x14ac:dyDescent="0.25"/>
  <cols>
    <col min="1" max="1" width="11.7109375" bestFit="1" customWidth="1"/>
    <col min="2" max="2" width="15" bestFit="1" customWidth="1"/>
    <col min="3" max="3" width="26.140625" bestFit="1" customWidth="1"/>
  </cols>
  <sheetData>
    <row r="1" spans="1:3" x14ac:dyDescent="0.25">
      <c r="A1" t="s">
        <v>159</v>
      </c>
      <c r="B1" t="s">
        <v>2</v>
      </c>
      <c r="C1" t="s">
        <v>156</v>
      </c>
    </row>
    <row r="2" spans="1:3" x14ac:dyDescent="0.25">
      <c r="A2" t="s">
        <v>161</v>
      </c>
      <c r="B2">
        <v>13448</v>
      </c>
      <c r="C2">
        <v>82.6</v>
      </c>
    </row>
    <row r="3" spans="1:3" x14ac:dyDescent="0.25">
      <c r="A3" t="s">
        <v>65</v>
      </c>
      <c r="B3">
        <v>315</v>
      </c>
      <c r="C3">
        <v>84.1</v>
      </c>
    </row>
  </sheetData>
  <pageMargins left="0.7" right="0.7" top="0.75" bottom="0.75" header="0.3" footer="0.3"/>
  <tableParts count="1">
    <tablePart r:id="rId1"/>
  </tableParts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3893C5C-64DB-4678-9584-DC06E26E6031}">
  <dimension ref="A1:C2"/>
  <sheetViews>
    <sheetView workbookViewId="0"/>
  </sheetViews>
  <sheetFormatPr defaultRowHeight="15" x14ac:dyDescent="0.25"/>
  <cols>
    <col min="1" max="1" width="15" bestFit="1" customWidth="1"/>
    <col min="2" max="2" width="15.85546875" bestFit="1" customWidth="1"/>
    <col min="3" max="3" width="19.7109375" bestFit="1" customWidth="1"/>
  </cols>
  <sheetData>
    <row r="1" spans="1:3" x14ac:dyDescent="0.25">
      <c r="A1" t="s">
        <v>2</v>
      </c>
      <c r="B1" t="s">
        <v>199</v>
      </c>
      <c r="C1" t="s">
        <v>200</v>
      </c>
    </row>
    <row r="2" spans="1:3" x14ac:dyDescent="0.25">
      <c r="A2">
        <v>13448</v>
      </c>
      <c r="B2">
        <v>9809</v>
      </c>
      <c r="C2">
        <v>72.900000000000006</v>
      </c>
    </row>
  </sheetData>
  <pageMargins left="0.7" right="0.7" top="0.75" bottom="0.75" header="0.3" footer="0.3"/>
  <tableParts count="1">
    <tablePart r:id="rId1"/>
  </tableParts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0882D3E-459D-442B-9326-5334946185DF}">
  <dimension ref="A1:K5"/>
  <sheetViews>
    <sheetView workbookViewId="0">
      <selection activeCell="D19" sqref="D19"/>
    </sheetView>
  </sheetViews>
  <sheetFormatPr defaultRowHeight="15" x14ac:dyDescent="0.25"/>
  <cols>
    <col min="1" max="1" width="26" customWidth="1"/>
    <col min="9" max="9" width="11.5703125" customWidth="1"/>
  </cols>
  <sheetData>
    <row r="1" spans="1:11" x14ac:dyDescent="0.25">
      <c r="A1" t="s">
        <v>204</v>
      </c>
      <c r="B1" t="s">
        <v>205</v>
      </c>
      <c r="C1" t="s">
        <v>65</v>
      </c>
      <c r="E1" t="s">
        <v>206</v>
      </c>
      <c r="F1" t="s">
        <v>161</v>
      </c>
      <c r="G1" t="s">
        <v>65</v>
      </c>
      <c r="I1" t="s">
        <v>207</v>
      </c>
      <c r="J1" t="s">
        <v>161</v>
      </c>
      <c r="K1" t="s">
        <v>65</v>
      </c>
    </row>
    <row r="2" spans="1:11" x14ac:dyDescent="0.25">
      <c r="A2" t="s">
        <v>197</v>
      </c>
      <c r="B2">
        <f>_xlfn.XLOOKUP(A2, q1b_rating_distribution[overall], q1b_rating_distribution[england_pct])</f>
        <v>4.5999999999999996</v>
      </c>
      <c r="C2">
        <f>_xlfn.XLOOKUP(A2, q1b_rating_distribution[overall],q1b_rating_distribution[wsx_pct])</f>
        <v>3.5</v>
      </c>
      <c r="E2" t="s">
        <v>187</v>
      </c>
      <c r="F2">
        <f>SUMIFS(q3_nursing_vs_residential[pct_good_or_outstanding], q3_nursing_vs_residential[area], F$1, q3_nursing_vs_residential[home_type], $E2)</f>
        <v>83.7</v>
      </c>
      <c r="G2">
        <f>SUMIFS(q3_nursing_vs_residential[pct_good_or_outstanding], q3_nursing_vs_residential[area], G$1, q3_nursing_vs_residential[home_type], $E2)</f>
        <v>84.5</v>
      </c>
      <c r="I2" t="s">
        <v>208</v>
      </c>
      <c r="J2">
        <f>SUMIFS(q7_dementia[pct_good_or_outstanding], q7_dementia[area], J$1, q7_dementia[dementia_group], $I2)</f>
        <v>79.599999999999994</v>
      </c>
      <c r="K2">
        <f>SUMIFS(q7_dementia[pct_good_or_outstanding],q7_dementia[dementia_group],I$2,q7_dementia[area],$K1)</f>
        <v>84.8</v>
      </c>
    </row>
    <row r="3" spans="1:11" x14ac:dyDescent="0.25">
      <c r="A3" t="s">
        <v>195</v>
      </c>
      <c r="B3">
        <f>_xlfn.XLOOKUP(A3, q1b_rating_distribution[overall], q1b_rating_distribution[england_pct])</f>
        <v>78</v>
      </c>
      <c r="C3">
        <f>_xlfn.XLOOKUP(A3, q1b_rating_distribution[overall],q1b_rating_distribution[wsx_pct])</f>
        <v>80.599999999999994</v>
      </c>
      <c r="E3" t="s">
        <v>188</v>
      </c>
      <c r="F3">
        <f>SUMIFS(q3_nursing_vs_residential[pct_good_or_outstanding], q3_nursing_vs_residential[area], F$1, q3_nursing_vs_residential[home_type], E3)</f>
        <v>80</v>
      </c>
      <c r="G3">
        <f>SUMIFS(q3_nursing_vs_residential[pct_good_or_outstanding], q3_nursing_vs_residential[area], G$1, q3_nursing_vs_residential[home_type], $E3)</f>
        <v>83.3</v>
      </c>
      <c r="I3" t="s">
        <v>209</v>
      </c>
      <c r="J3">
        <f>SUMIFS(q7_dementia[pct_good_or_outstanding], q7_dementia[area], J$1, q7_dementia[dementia_group], $I3)</f>
        <v>86.4</v>
      </c>
      <c r="K3">
        <f>SUMIFS(q7_dementia[pct_good_or_outstanding],q7_dementia[dementia_group],I$3,q7_dementia[area],$K1)</f>
        <v>83.3</v>
      </c>
    </row>
    <row r="4" spans="1:11" x14ac:dyDescent="0.25">
      <c r="A4" t="s">
        <v>196</v>
      </c>
      <c r="B4">
        <f>_xlfn.XLOOKUP(A4, q1b_rating_distribution[overall], q1b_rating_distribution[england_pct])</f>
        <v>16.7</v>
      </c>
      <c r="C4">
        <f>_xlfn.XLOOKUP(A4, q1b_rating_distribution[overall],q1b_rating_distribution[wsx_pct])</f>
        <v>15.9</v>
      </c>
    </row>
    <row r="5" spans="1:11" x14ac:dyDescent="0.25">
      <c r="A5" t="s">
        <v>198</v>
      </c>
      <c r="B5">
        <f>_xlfn.XLOOKUP(A5, q1b_rating_distribution[overall], q1b_rating_distribution[england_pct])</f>
        <v>0.7</v>
      </c>
      <c r="C5">
        <f>_xlfn.XLOOKUP(A5, q1b_rating_distribution[overall],q1b_rating_distribution[wsx_pct])</f>
        <v>0</v>
      </c>
    </row>
  </sheetData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66214BE-2239-421D-98EE-DF7962234695}">
  <dimension ref="A1:B6"/>
  <sheetViews>
    <sheetView workbookViewId="0">
      <selection activeCell="G7" sqref="G7"/>
    </sheetView>
  </sheetViews>
  <sheetFormatPr defaultRowHeight="15" x14ac:dyDescent="0.25"/>
  <cols>
    <col min="1" max="1" width="15" bestFit="1" customWidth="1"/>
    <col min="2" max="2" width="12.140625" bestFit="1" customWidth="1"/>
    <col min="3" max="3" width="21.28515625" bestFit="1" customWidth="1"/>
    <col min="4" max="4" width="10.85546875" bestFit="1" customWidth="1"/>
    <col min="5" max="5" width="15.140625" bestFit="1" customWidth="1"/>
    <col min="6" max="6" width="12.42578125" bestFit="1" customWidth="1"/>
    <col min="7" max="7" width="17.140625" bestFit="1" customWidth="1"/>
    <col min="8" max="8" width="14.42578125" bestFit="1" customWidth="1"/>
    <col min="9" max="9" width="14.5703125" bestFit="1" customWidth="1"/>
    <col min="10" max="10" width="19" bestFit="1" customWidth="1"/>
    <col min="11" max="11" width="16.28515625" bestFit="1" customWidth="1"/>
    <col min="12" max="12" width="21" bestFit="1" customWidth="1"/>
    <col min="13" max="13" width="18.28515625" bestFit="1" customWidth="1"/>
  </cols>
  <sheetData>
    <row r="1" spans="1:2" x14ac:dyDescent="0.25">
      <c r="A1" t="s">
        <v>210</v>
      </c>
      <c r="B1" t="s">
        <v>211</v>
      </c>
    </row>
    <row r="2" spans="1:2" x14ac:dyDescent="0.25">
      <c r="A2" s="5" t="s">
        <v>212</v>
      </c>
      <c r="B2">
        <v>98.2</v>
      </c>
    </row>
    <row r="3" spans="1:2" x14ac:dyDescent="0.25">
      <c r="A3" s="5" t="s">
        <v>213</v>
      </c>
      <c r="B3">
        <v>93.1</v>
      </c>
    </row>
    <row r="4" spans="1:2" x14ac:dyDescent="0.25">
      <c r="A4" s="5" t="s">
        <v>214</v>
      </c>
      <c r="B4">
        <v>45.1</v>
      </c>
    </row>
    <row r="5" spans="1:2" x14ac:dyDescent="0.25">
      <c r="A5" s="5" t="s">
        <v>215</v>
      </c>
      <c r="B5">
        <v>30.9</v>
      </c>
    </row>
    <row r="6" spans="1:2" x14ac:dyDescent="0.25">
      <c r="A6" s="5" t="s">
        <v>216</v>
      </c>
      <c r="B6">
        <v>21.9</v>
      </c>
    </row>
  </sheetData>
  <pageMargins left="0.7" right="0.7" top="0.75" bottom="0.75" header="0.3" footer="0.3"/>
  <tableParts count="1">
    <tablePart r:id="rId1"/>
  </tablePart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36F5CF8F-0AC7-48AE-9CBC-8DFA63E53988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14</vt:i4>
      </vt:variant>
    </vt:vector>
  </HeadingPairs>
  <TitlesOfParts>
    <vt:vector size="14" baseType="lpstr">
      <vt:lpstr>Dashboard</vt:lpstr>
      <vt:lpstr>data_q9</vt:lpstr>
      <vt:lpstr>data_q8</vt:lpstr>
      <vt:lpstr>data_q7</vt:lpstr>
      <vt:lpstr>data_q6</vt:lpstr>
      <vt:lpstr>data_q5</vt:lpstr>
      <vt:lpstr>data_q4</vt:lpstr>
      <vt:lpstr>q3_nursing_vs_residential</vt:lpstr>
      <vt:lpstr>q2c_region_rank</vt:lpstr>
      <vt:lpstr>q1b_rating_distribution</vt:lpstr>
      <vt:lpstr>q1_good_or_outstanding</vt:lpstr>
      <vt:lpstr>q8_rating_age_step_1</vt:lpstr>
      <vt:lpstr>chart_feed </vt:lpstr>
      <vt:lpstr>q5_long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Ecoin FX</dc:creator>
  <cp:lastModifiedBy>Ecoin FX</cp:lastModifiedBy>
  <dcterms:created xsi:type="dcterms:W3CDTF">2026-10-21T14:37:32Z</dcterms:created>
  <dcterms:modified xsi:type="dcterms:W3CDTF">2026-10-22T16:19:55Z</dcterms:modified>
</cp:coreProperties>
</file>